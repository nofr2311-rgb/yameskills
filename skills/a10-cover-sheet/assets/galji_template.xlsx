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갑지" sheetId="1" state="visible" r:id="rId1"/>
  </sheets>
  <definedNames>
    <definedName name="_xlnm.Print_Area" localSheetId="0">'갑지'!$A$1:$AD$41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\ m&quot;월&quot;\ d&quot;일&quot;;@"/>
    <numFmt numFmtId="165" formatCode="_-* #,##0_-;\-* #,##0_-;_-* &quot;-&quot;_-;_-@_-"/>
  </numFmts>
  <fonts count="24">
    <font>
      <name val="Calibri"/>
      <family val="2"/>
      <color theme="1"/>
      <sz val="11"/>
      <scheme val="minor"/>
    </font>
    <font>
      <name val="[더존] 본문체 30"/>
      <charset val="129"/>
      <family val="3"/>
      <sz val="11"/>
    </font>
    <font>
      <name val="[더존] 본문체 30"/>
      <charset val="129"/>
      <family val="3"/>
      <b val="1"/>
      <sz val="12"/>
    </font>
    <font>
      <name val="[더존] 본문체 30"/>
      <charset val="129"/>
      <family val="3"/>
      <sz val="30"/>
    </font>
    <font>
      <name val="[더존] 본문체 30"/>
      <charset val="129"/>
      <family val="3"/>
      <b val="1"/>
      <sz val="36"/>
    </font>
    <font>
      <name val="[더존] 본문체 30"/>
      <charset val="129"/>
      <family val="3"/>
      <color rgb="FF0070C0"/>
      <sz val="24"/>
    </font>
    <font>
      <name val="[더존] 본문체 30"/>
      <charset val="129"/>
      <family val="3"/>
      <b val="1"/>
      <sz val="24"/>
    </font>
    <font>
      <name val="[더존] 본문체 30"/>
      <charset val="129"/>
      <family val="3"/>
      <b val="1"/>
      <color theme="0"/>
      <sz val="16"/>
    </font>
    <font>
      <name val="[더존] 본문체 30"/>
      <charset val="129"/>
      <family val="3"/>
      <sz val="18"/>
    </font>
    <font>
      <name val="[더존] 본문체 50"/>
      <charset val="129"/>
      <family val="3"/>
      <color rgb="FF00668A"/>
      <sz val="18"/>
    </font>
    <font>
      <name val="[더존] 본문체 50"/>
      <charset val="129"/>
      <family val="3"/>
      <sz val="18"/>
    </font>
    <font>
      <name val="[더존] 본문체 30"/>
      <charset val="129"/>
      <family val="3"/>
      <b val="1"/>
      <sz val="11"/>
    </font>
    <font>
      <name val="[더존] 본문체 30"/>
      <charset val="129"/>
      <family val="3"/>
      <b val="1"/>
      <sz val="20"/>
    </font>
    <font>
      <name val="[더존] 본문체 30"/>
      <charset val="129"/>
      <family val="3"/>
      <b val="1"/>
      <sz val="14"/>
    </font>
    <font>
      <name val="[더존] 본문체 30"/>
      <charset val="129"/>
      <family val="3"/>
      <color rgb="FFFF0000"/>
      <sz val="11"/>
    </font>
    <font>
      <name val="[더존] 본문체 30"/>
      <charset val="129"/>
      <family val="3"/>
      <color theme="0"/>
      <sz val="16"/>
    </font>
    <font>
      <name val="[더존] 본문체 30"/>
      <charset val="129"/>
      <family val="3"/>
      <sz val="16"/>
    </font>
    <font>
      <name val="[더존] 본문체 50"/>
      <charset val="129"/>
      <family val="3"/>
      <color theme="0"/>
      <sz val="20"/>
    </font>
    <font>
      <name val="[더존] 본문체 50"/>
      <charset val="129"/>
      <family val="3"/>
      <color theme="0"/>
      <sz val="16"/>
    </font>
    <font>
      <name val="[더존] 본문체 30"/>
      <charset val="129"/>
      <family val="3"/>
      <b val="1"/>
      <color rgb="FF00668A"/>
      <sz val="18"/>
    </font>
    <font>
      <name val="[더존] 본문체 30"/>
      <charset val="129"/>
      <family val="3"/>
      <b val="1"/>
      <color rgb="FFFF0000"/>
      <sz val="14"/>
    </font>
    <font>
      <b val="1"/>
      <color rgb="00000000"/>
      <sz val="22"/>
    </font>
    <font>
      <color rgb="00777777"/>
      <sz val="9"/>
    </font>
    <font>
      <b val="1"/>
      <color rgb="0000668A"/>
      <sz val="16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66CCFF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3499862666707358"/>
      </right>
      <top style="thin">
        <color theme="0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 tint="-0.249946592608417"/>
      </bottom>
      <diagonal/>
    </border>
    <border>
      <left style="thin">
        <color theme="0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/>
      </right>
      <top style="thin">
        <color theme="0" tint="-0.24994659260841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0"/>
      </bottom>
      <diagonal/>
    </border>
    <border>
      <left style="thin">
        <color theme="0"/>
      </left>
      <right/>
      <top style="thin">
        <color theme="0" tint="-0.249946592608417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 tint="-0.24994659260841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46592608417"/>
      </bottom>
      <diagonal/>
    </border>
    <border>
      <left style="thin">
        <color theme="0"/>
      </left>
      <right/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 tint="-0.249946592608417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3499862666707358"/>
      </right>
      <top style="thin">
        <color theme="0"/>
      </top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2" applyAlignment="1" pivotButton="0" quotePrefix="0" xfId="0">
      <alignment horizontal="left" vertical="center" indent="1"/>
    </xf>
    <xf numFmtId="0" fontId="0" fillId="0" borderId="4" pivotButton="0" quotePrefix="0" xfId="0"/>
    <xf numFmtId="164" fontId="8" fillId="0" borderId="2" applyAlignment="1" pivotButton="0" quotePrefix="0" xfId="0">
      <alignment horizontal="left" vertical="center" indent="1"/>
    </xf>
    <xf numFmtId="0" fontId="7" fillId="3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0" borderId="4" applyAlignment="1" pivotButton="0" quotePrefix="0" xfId="0">
      <alignment horizontal="left" vertical="center" indent="1"/>
    </xf>
    <xf numFmtId="0" fontId="8" fillId="0" borderId="4" applyAlignment="1" pivotButton="0" quotePrefix="0" xfId="0">
      <alignment horizontal="center" vertical="center"/>
    </xf>
    <xf numFmtId="0" fontId="0" fillId="0" borderId="33" pivotButton="0" quotePrefix="0" xfId="0"/>
    <xf numFmtId="0" fontId="8" fillId="0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9" fillId="2" borderId="4" applyAlignment="1" pivotButton="0" quotePrefix="0" xfId="0">
      <alignment horizontal="left" vertical="center" wrapText="1" indent="1"/>
    </xf>
    <xf numFmtId="0" fontId="0" fillId="0" borderId="40" pivotButton="0" quotePrefix="0" xfId="0"/>
    <xf numFmtId="0" fontId="0" fillId="0" borderId="8" pivotButton="0" quotePrefix="0" xfId="0"/>
    <xf numFmtId="0" fontId="7" fillId="3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 indent="1"/>
    </xf>
    <xf numFmtId="0" fontId="7" fillId="3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10" fillId="0" borderId="2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0" fillId="0" borderId="8" applyAlignment="1" pivotButton="0" quotePrefix="0" xfId="0">
      <alignment horizontal="left" vertical="center" indent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5" fillId="4" borderId="9" applyAlignment="1" pivotButton="0" quotePrefix="0" xfId="0">
      <alignment horizontal="center" vertical="center"/>
    </xf>
    <xf numFmtId="0" fontId="0" fillId="0" borderId="38" pivotButton="0" quotePrefix="0" xfId="0"/>
    <xf numFmtId="0" fontId="15" fillId="4" borderId="1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0" fontId="15" fillId="4" borderId="11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15" pivotButton="0" quotePrefix="0" xfId="0"/>
    <xf numFmtId="0" fontId="16" fillId="5" borderId="13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2" pivotButton="0" quotePrefix="0" xfId="0"/>
    <xf numFmtId="0" fontId="16" fillId="0" borderId="13" applyAlignment="1" pivotButton="0" quotePrefix="0" xfId="0">
      <alignment horizontal="center" vertical="center"/>
    </xf>
    <xf numFmtId="0" fontId="0" fillId="0" borderId="36" pivotButton="0" quotePrefix="0" xfId="0"/>
    <xf numFmtId="0" fontId="16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left" vertical="center"/>
    </xf>
    <xf numFmtId="0" fontId="0" fillId="0" borderId="37" pivotButton="0" quotePrefix="0" xfId="0"/>
    <xf numFmtId="0" fontId="16" fillId="0" borderId="12" applyAlignment="1" pivotButton="0" quotePrefix="0" xfId="0">
      <alignment horizontal="center" vertical="center" wrapText="1"/>
    </xf>
    <xf numFmtId="0" fontId="16" fillId="5" borderId="13" applyAlignment="1" pivotButton="0" quotePrefix="0" xfId="0">
      <alignment horizontal="center" vertical="center" wrapText="1"/>
    </xf>
    <xf numFmtId="165" fontId="16" fillId="0" borderId="14" applyAlignment="1" pivotButton="0" quotePrefix="0" xfId="0">
      <alignment horizontal="center" vertical="center"/>
    </xf>
    <xf numFmtId="0" fontId="0" fillId="0" borderId="31" pivotButton="0" quotePrefix="0" xfId="0"/>
    <xf numFmtId="165" fontId="16" fillId="0" borderId="13" applyAlignment="1" pivotButton="0" quotePrefix="0" xfId="0">
      <alignment horizontal="center" vertical="center"/>
    </xf>
    <xf numFmtId="165" fontId="16" fillId="0" borderId="13" applyAlignment="1" pivotButton="0" quotePrefix="0" xfId="0">
      <alignment horizontal="right" vertical="center"/>
    </xf>
    <xf numFmtId="0" fontId="16" fillId="0" borderId="15" applyAlignment="1" pivotButton="0" quotePrefix="0" xfId="0">
      <alignment horizontal="center" vertical="center" wrapText="1"/>
    </xf>
    <xf numFmtId="0" fontId="17" fillId="4" borderId="1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165" fontId="17" fillId="4" borderId="17" applyAlignment="1" pivotButton="0" quotePrefix="0" xfId="0">
      <alignment horizontal="center" vertical="center"/>
    </xf>
    <xf numFmtId="0" fontId="18" fillId="4" borderId="18" applyAlignment="1" pivotButton="0" quotePrefix="0" xfId="0">
      <alignment horizontal="center" vertical="center"/>
    </xf>
    <xf numFmtId="0" fontId="17" fillId="6" borderId="19" applyAlignment="1" pivotButton="0" quotePrefix="0" xfId="0">
      <alignment horizontal="center" vertical="center"/>
    </xf>
    <xf numFmtId="0" fontId="0" fillId="0" borderId="19" pivotButton="0" quotePrefix="0" xfId="0"/>
    <xf numFmtId="165" fontId="17" fillId="6" borderId="20" applyAlignment="1" pivotButton="0" quotePrefix="0" xfId="0">
      <alignment horizontal="center" vertical="center"/>
    </xf>
    <xf numFmtId="0" fontId="18" fillId="6" borderId="21" applyAlignment="1" pivotButton="0" quotePrefix="0" xfId="0">
      <alignment horizontal="center" vertical="center"/>
    </xf>
    <xf numFmtId="0" fontId="17" fillId="6" borderId="22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22" pivotButton="0" quotePrefix="0" xfId="0"/>
    <xf numFmtId="165" fontId="17" fillId="6" borderId="23" applyAlignment="1" pivotButton="0" quotePrefix="0" xfId="0">
      <alignment horizontal="center" vertical="center"/>
    </xf>
    <xf numFmtId="0" fontId="18" fillId="6" borderId="24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165" fontId="16" fillId="0" borderId="25" applyAlignment="1" pivotButton="0" quotePrefix="0" xfId="0">
      <alignment horizontal="center" vertical="center"/>
    </xf>
    <xf numFmtId="0" fontId="19" fillId="0" borderId="26" applyAlignment="1" pivotButton="0" quotePrefix="0" xfId="0">
      <alignment horizontal="left"/>
    </xf>
    <xf numFmtId="0" fontId="16" fillId="0" borderId="26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workbookViewId="0">
      <selection activeCell="A1" sqref="A1"/>
    </sheetView>
  </sheetViews>
  <sheetFormatPr baseColWidth="8" defaultRowHeight="15"/>
  <cols>
    <col width="1.375" customWidth="1" min="1" max="1"/>
    <col width="9.625" customWidth="1" min="2" max="2"/>
    <col width="9.625" customWidth="1" min="10" max="10"/>
    <col width="9.625" customWidth="1" min="12" max="12"/>
    <col width="9.625" customWidth="1" min="13" max="13"/>
    <col width="9.625" customWidth="1" min="14" max="14"/>
    <col width="9.625" customWidth="1" min="16" max="16"/>
    <col width="1.375" customWidth="1" min="31" max="31"/>
    <col width="9.625" customWidth="1" min="32" max="32"/>
    <col width="8.875" customWidth="1" min="35" max="35"/>
  </cols>
  <sheetData>
    <row r="1" ht="16.5" customHeight="1">
      <c r="A1" s="1" t="n"/>
      <c r="B1" s="2" t="n"/>
      <c r="C1" s="2" t="n"/>
      <c r="D1" s="2" t="n"/>
      <c r="E1" s="2" t="n"/>
      <c r="F1" s="2" t="n"/>
      <c r="G1" s="2" t="n"/>
      <c r="H1" s="1" t="n"/>
      <c r="I1" s="1" t="n"/>
      <c r="J1" s="3" t="n"/>
      <c r="K1" s="3" t="n"/>
      <c r="L1" s="1" t="n"/>
      <c r="M1" s="3" t="n"/>
      <c r="N1" s="1" t="n"/>
      <c r="O1" s="1" t="n"/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3" t="n"/>
      <c r="L2" s="1" t="n"/>
      <c r="M2" s="3" t="n"/>
      <c r="N2" s="1" t="n"/>
      <c r="O2" s="1" t="n"/>
    </row>
    <row r="3" ht="40" customHeight="1">
      <c r="A3" s="4" t="n"/>
      <c r="B3" s="85" t="inlineStr">
        <is>
          <t>Amaranth 10 가격제안서 요약</t>
        </is>
      </c>
      <c r="Z3" s="86" t="inlineStr">
        <is>
          <t>DOUZONE</t>
        </is>
      </c>
    </row>
    <row r="4" ht="20" customHeight="1">
      <c r="A4" s="1" t="n"/>
      <c r="B4" s="87" t="inlineStr">
        <is>
          <t>DOUZONE Bizon Estimate statement</t>
        </is>
      </c>
    </row>
    <row r="5" ht="42" customHeight="1">
      <c r="B5" s="8" t="inlineStr">
        <is>
          <t>업체명</t>
        </is>
      </c>
      <c r="C5" s="9" t="n"/>
      <c r="D5" s="9" t="n"/>
      <c r="E5" s="9" t="n"/>
      <c r="F5" s="10" t="inlineStr">
        <is>
          <t>케이비에스엔</t>
        </is>
      </c>
      <c r="G5" s="11" t="n"/>
      <c r="H5" s="11" t="n"/>
      <c r="I5" s="11" t="n"/>
      <c r="J5" s="11" t="n"/>
      <c r="K5" s="11" t="n"/>
      <c r="L5" s="11" t="n"/>
      <c r="M5" s="11" t="n"/>
      <c r="R5" s="1" t="n"/>
      <c r="S5" s="8" t="inlineStr">
        <is>
          <t>견적일자</t>
        </is>
      </c>
      <c r="T5" s="9" t="n"/>
      <c r="U5" s="9" t="n"/>
      <c r="V5" s="9" t="n"/>
      <c r="W5" s="12">
        <f>TODAY()</f>
        <v/>
      </c>
      <c r="X5" s="11" t="n"/>
      <c r="Y5" s="11" t="n"/>
      <c r="Z5" s="11" t="n"/>
      <c r="AA5" s="11" t="n"/>
      <c r="AB5" s="11" t="n"/>
      <c r="AC5" s="11" t="n"/>
      <c r="AD5" s="11" t="n"/>
    </row>
    <row r="6" ht="42" customHeight="1">
      <c r="B6" s="13" t="inlineStr">
        <is>
          <t>담당자</t>
        </is>
      </c>
      <c r="C6" s="14" t="n"/>
      <c r="D6" s="14" t="n"/>
      <c r="E6" s="14" t="n"/>
      <c r="F6" s="15" t="inlineStr">
        <is>
          <t>최종안 차장님</t>
        </is>
      </c>
      <c r="G6" s="11" t="n"/>
      <c r="H6" s="11" t="n"/>
      <c r="I6" s="11" t="n"/>
      <c r="J6" s="11" t="n"/>
      <c r="K6" s="11" t="n"/>
      <c r="L6" s="11" t="n"/>
      <c r="M6" s="16" t="inlineStr">
        <is>
          <t>(귀중)</t>
        </is>
      </c>
      <c r="R6" s="1" t="n"/>
      <c r="S6" s="13" t="inlineStr">
        <is>
          <t>제안사</t>
        </is>
      </c>
      <c r="T6" s="17" t="n"/>
      <c r="U6" s="17" t="n"/>
      <c r="V6" s="17" t="n"/>
      <c r="W6" s="18" t="inlineStr">
        <is>
          <t>134-81-08473 (주)더존비즈온
강원도 춘천시 남산면 버들1길 130
대표이사 김 용 우 (직인생략)</t>
        </is>
      </c>
      <c r="X6" s="19" t="n"/>
      <c r="Y6" s="19" t="n"/>
      <c r="Z6" s="19" t="n"/>
      <c r="AA6" s="19" t="n"/>
      <c r="AB6" s="19" t="n"/>
      <c r="AC6" s="19" t="n"/>
      <c r="AD6" s="19" t="n"/>
    </row>
    <row r="7" ht="42" customHeight="1">
      <c r="B7" s="13" t="inlineStr">
        <is>
          <t>견적명</t>
        </is>
      </c>
      <c r="C7" s="17" t="n"/>
      <c r="D7" s="17" t="n"/>
      <c r="E7" s="17" t="n"/>
      <c r="F7" s="20" t="inlineStr">
        <is>
          <t>Amaranth 10 견적</t>
        </is>
      </c>
      <c r="G7" s="19" t="n"/>
      <c r="H7" s="19" t="n"/>
      <c r="I7" s="19" t="n"/>
      <c r="J7" s="19" t="n"/>
      <c r="K7" s="19" t="n"/>
      <c r="L7" s="19" t="n"/>
      <c r="M7" s="19" t="n"/>
      <c r="R7" s="1" t="n"/>
      <c r="S7" s="21" t="n"/>
      <c r="T7" s="21" t="n"/>
      <c r="U7" s="21" t="n"/>
      <c r="V7" s="21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42" customHeight="1">
      <c r="B8" s="21" t="n"/>
      <c r="C8" s="21" t="n"/>
      <c r="D8" s="21" t="n"/>
      <c r="E8" s="21" t="n"/>
      <c r="F8" s="22" t="n"/>
      <c r="G8" s="22" t="n"/>
      <c r="H8" s="22" t="n"/>
      <c r="I8" s="22" t="n"/>
      <c r="J8" s="22" t="n"/>
      <c r="K8" s="22" t="n"/>
      <c r="L8" s="22" t="n"/>
      <c r="M8" s="22" t="n"/>
      <c r="R8" s="1" t="n"/>
      <c r="S8" s="23" t="inlineStr">
        <is>
          <t>영업담당</t>
        </is>
      </c>
      <c r="T8" s="17" t="n"/>
      <c r="U8" s="17" t="n"/>
      <c r="V8" s="17" t="n"/>
      <c r="W8" s="24" t="inlineStr">
        <is>
          <t>천현정 담당자</t>
        </is>
      </c>
      <c r="X8" s="19" t="n"/>
      <c r="Y8" s="19" t="n"/>
      <c r="Z8" s="19" t="n"/>
      <c r="AA8" s="19" t="n"/>
      <c r="AB8" s="19" t="n"/>
      <c r="AC8" s="19" t="n"/>
      <c r="AD8" s="19" t="n"/>
    </row>
    <row r="9" ht="39.75" customHeight="1">
      <c r="B9" s="25" t="inlineStr">
        <is>
          <t>견적번호</t>
        </is>
      </c>
      <c r="C9" s="26" t="n"/>
      <c r="D9" s="26" t="n"/>
      <c r="E9" s="27" t="n"/>
      <c r="F9" s="28">
        <f>CONCATENATE("Douzone-A10-Ver1.0-",TEXT(W5,"YYYYMMDD"))</f>
        <v/>
      </c>
      <c r="G9" s="11" t="n"/>
      <c r="H9" s="11" t="n"/>
      <c r="I9" s="11" t="n"/>
      <c r="J9" s="11" t="n"/>
      <c r="K9" s="11" t="n"/>
      <c r="L9" s="11" t="n"/>
      <c r="M9" s="11" t="n"/>
      <c r="N9" s="29" t="n"/>
      <c r="O9" s="30" t="n"/>
      <c r="P9" s="1" t="n"/>
      <c r="Q9" s="1" t="n"/>
      <c r="R9" s="1" t="n"/>
      <c r="S9" s="22" t="n"/>
      <c r="T9" s="22" t="n"/>
      <c r="U9" s="22" t="n"/>
      <c r="V9" s="22" t="n"/>
      <c r="W9" s="31" t="inlineStr">
        <is>
          <t>010-7572-9830 / chj9808@douzone.com</t>
        </is>
      </c>
      <c r="X9" s="22" t="n"/>
      <c r="Y9" s="22" t="n"/>
      <c r="Z9" s="22" t="n"/>
      <c r="AA9" s="22" t="n"/>
      <c r="AB9" s="22" t="n"/>
      <c r="AC9" s="22" t="n"/>
      <c r="AD9" s="22" t="n"/>
    </row>
    <row r="10" ht="39.75" customHeight="1"/>
    <row r="11" ht="39.75" customHeight="1">
      <c r="B11" s="32" t="inlineStr">
        <is>
          <t>하기와 같이 견적합니다. (부가세 별도)</t>
        </is>
      </c>
      <c r="C11" s="33" t="n"/>
      <c r="D11" s="33" t="n"/>
      <c r="E11" s="33" t="n"/>
      <c r="F11" s="33" t="n"/>
      <c r="G11" s="1" t="n"/>
      <c r="H11" s="1" t="n"/>
      <c r="I11" s="1" t="n"/>
      <c r="J11" s="34" t="n"/>
      <c r="K11" s="34" t="n"/>
      <c r="L11" s="35" t="n"/>
      <c r="M11" s="36" t="n"/>
      <c r="N11" s="29" t="n"/>
      <c r="O11" s="3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37" t="inlineStr">
        <is>
          <t>단위: 원 / VAT 별도</t>
        </is>
      </c>
    </row>
    <row r="12" ht="39.75" customHeight="1">
      <c r="B12" s="38" t="inlineStr">
        <is>
          <t>구분</t>
        </is>
      </c>
      <c r="I12" s="39" t="n"/>
      <c r="J12" s="40" t="inlineStr">
        <is>
          <t>Cloud형</t>
        </is>
      </c>
      <c r="K12" s="41" t="n"/>
      <c r="L12" s="41" t="n"/>
      <c r="M12" s="42" t="n"/>
      <c r="N12" s="40" t="inlineStr">
        <is>
          <t>구축형(서버 파킹)</t>
        </is>
      </c>
      <c r="O12" s="41" t="n"/>
      <c r="P12" s="41" t="n"/>
      <c r="Q12" s="42" t="n"/>
      <c r="R12" s="40" t="inlineStr">
        <is>
          <t>구축형(임대)</t>
        </is>
      </c>
      <c r="S12" s="41" t="n"/>
      <c r="T12" s="41" t="n"/>
      <c r="U12" s="42" t="n"/>
      <c r="V12" s="40" t="inlineStr">
        <is>
          <t>구축형(자체)</t>
        </is>
      </c>
      <c r="W12" s="41" t="n"/>
      <c r="X12" s="41" t="n"/>
      <c r="Y12" s="42" t="n"/>
      <c r="Z12" s="43" t="inlineStr">
        <is>
          <t>비고</t>
        </is>
      </c>
      <c r="AA12" s="41" t="n"/>
      <c r="AB12" s="41" t="n"/>
      <c r="AC12" s="41" t="n"/>
      <c r="AD12" s="41" t="n"/>
    </row>
    <row r="13" ht="39.75" customHeight="1">
      <c r="B13" s="44" t="inlineStr">
        <is>
          <t>제안 구성</t>
        </is>
      </c>
      <c r="C13" s="45" t="n"/>
      <c r="D13" s="45" t="n"/>
      <c r="E13" s="46" t="n"/>
      <c r="F13" s="47" t="inlineStr">
        <is>
          <t>서버 구매</t>
        </is>
      </c>
      <c r="G13" s="48" t="n"/>
      <c r="H13" s="48" t="n"/>
      <c r="I13" s="49" t="n"/>
      <c r="J13" s="50" t="inlineStr">
        <is>
          <t>X</t>
        </is>
      </c>
      <c r="K13" s="48" t="n"/>
      <c r="L13" s="48" t="n"/>
      <c r="M13" s="49" t="n"/>
      <c r="N13" s="50" t="inlineStr">
        <is>
          <t>자체 구매</t>
        </is>
      </c>
      <c r="O13" s="48" t="n"/>
      <c r="P13" s="48" t="n"/>
      <c r="Q13" s="49" t="n"/>
      <c r="R13" s="50" t="inlineStr">
        <is>
          <t>더존 구매</t>
        </is>
      </c>
      <c r="S13" s="48" t="n"/>
      <c r="T13" s="48" t="n"/>
      <c r="U13" s="49" t="n"/>
      <c r="V13" s="50" t="inlineStr">
        <is>
          <t>자체 구매</t>
        </is>
      </c>
      <c r="W13" s="48" t="n"/>
      <c r="X13" s="48" t="n"/>
      <c r="Y13" s="49" t="n"/>
      <c r="Z13" s="50" t="n"/>
      <c r="AA13" s="48" t="n"/>
      <c r="AB13" s="48" t="n"/>
      <c r="AC13" s="48" t="n"/>
      <c r="AD13" s="49" t="n"/>
    </row>
    <row r="14" ht="39.75" customHeight="1">
      <c r="E14" s="51" t="n"/>
      <c r="F14" s="47" t="inlineStr">
        <is>
          <t>인프라 구성</t>
        </is>
      </c>
      <c r="G14" s="48" t="n"/>
      <c r="H14" s="48" t="n"/>
      <c r="I14" s="49" t="n"/>
      <c r="J14" s="50" t="inlineStr">
        <is>
          <t>더존 클라우드서버</t>
        </is>
      </c>
      <c r="K14" s="48" t="n"/>
      <c r="L14" s="48" t="n"/>
      <c r="M14" s="49" t="n"/>
      <c r="N14" s="50" t="inlineStr">
        <is>
          <t>더존 IDC 파킹</t>
        </is>
      </c>
      <c r="O14" s="48" t="n"/>
      <c r="P14" s="48" t="n"/>
      <c r="Q14" s="49" t="n"/>
      <c r="R14" s="50" t="inlineStr">
        <is>
          <t>더존 IDC 임대</t>
        </is>
      </c>
      <c r="S14" s="48" t="n"/>
      <c r="T14" s="48" t="n"/>
      <c r="U14" s="49" t="n"/>
      <c r="V14" s="50" t="inlineStr">
        <is>
          <t>KBSN 서버실</t>
        </is>
      </c>
      <c r="W14" s="48" t="n"/>
      <c r="X14" s="48" t="n"/>
      <c r="Y14" s="49" t="n"/>
      <c r="Z14" s="50" t="n"/>
      <c r="AA14" s="48" t="n"/>
      <c r="AB14" s="48" t="n"/>
      <c r="AC14" s="48" t="n"/>
      <c r="AD14" s="49" t="n"/>
    </row>
    <row r="15" ht="79.5" customHeight="1">
      <c r="E15" s="51" t="n"/>
      <c r="F15" s="47" t="inlineStr">
        <is>
          <t>ERP 모듈 구성</t>
        </is>
      </c>
      <c r="G15" s="48" t="n"/>
      <c r="H15" s="48" t="n"/>
      <c r="I15" s="49" t="n"/>
      <c r="J15" s="52" t="inlineStr">
        <is>
          <t>- ERP 기본모듈: 회계관리, 인사관리, 예산관리
- ERP 옵션모듈: 
   [인사] 근태리더기연동, 모바일 ForMe</t>
        </is>
      </c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9" t="n"/>
      <c r="Z15" s="53" t="n"/>
      <c r="AA15" s="48" t="n"/>
      <c r="AB15" s="48" t="n"/>
      <c r="AC15" s="48" t="n"/>
      <c r="AD15" s="49" t="n"/>
    </row>
    <row r="16" ht="39.75" customHeight="1">
      <c r="E16" s="51" t="n"/>
      <c r="F16" s="47" t="inlineStr">
        <is>
          <t>UC(그룹웨어) 모듈 구성</t>
        </is>
      </c>
      <c r="G16" s="48" t="n"/>
      <c r="H16" s="48" t="n"/>
      <c r="I16" s="49" t="n"/>
      <c r="J16" s="54" t="inlineStr">
        <is>
          <t>전자결재, 메일, 메신저, 게시판, 업무관리, 모바일 그룹웨어, Amaranth 10 APP</t>
        </is>
      </c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9" t="n"/>
      <c r="Z16" s="50" t="n"/>
      <c r="AA16" s="48" t="n"/>
      <c r="AB16" s="48" t="n"/>
      <c r="AC16" s="48" t="n"/>
      <c r="AD16" s="49" t="n"/>
    </row>
    <row r="17" ht="39.75" customHeight="1">
      <c r="B17" s="41" t="n"/>
      <c r="C17" s="41" t="n"/>
      <c r="D17" s="41" t="n"/>
      <c r="E17" s="55" t="n"/>
      <c r="F17" s="47" t="inlineStr">
        <is>
          <t>사용자 구성</t>
        </is>
      </c>
      <c r="G17" s="48" t="n"/>
      <c r="H17" s="48" t="n"/>
      <c r="I17" s="49" t="n"/>
      <c r="J17" s="54" t="inlineStr">
        <is>
          <t>ERP(전문가) 유저: 15유저, 임직원(사용자) 유저: 285유저, 메일: 200유저 / 총 200유저</t>
        </is>
      </c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9" t="n"/>
      <c r="Z17" s="50" t="n"/>
      <c r="AA17" s="48" t="n"/>
      <c r="AB17" s="48" t="n"/>
      <c r="AC17" s="48" t="n"/>
      <c r="AD17" s="49" t="n"/>
    </row>
    <row r="18" ht="16.5" customHeight="1"/>
    <row r="19" ht="39.75" customHeight="1">
      <c r="B19" s="56" t="inlineStr">
        <is>
          <t>최초 도입 비용</t>
        </is>
      </c>
      <c r="C19" s="45" t="n"/>
      <c r="D19" s="45" t="n"/>
      <c r="E19" s="46" t="n"/>
      <c r="F19" s="57" t="inlineStr">
        <is>
          <t>Enterprise
Business Platform</t>
        </is>
      </c>
      <c r="G19" s="46" t="n"/>
      <c r="H19" s="47" t="inlineStr">
        <is>
          <t>엔진</t>
        </is>
      </c>
      <c r="I19" s="46" t="n"/>
      <c r="J19" s="58" t="n">
        <v>0</v>
      </c>
      <c r="K19" s="45" t="n"/>
      <c r="L19" s="45" t="n"/>
      <c r="M19" s="45" t="n"/>
      <c r="N19" s="58" t="n">
        <v>0</v>
      </c>
      <c r="O19" s="45" t="n"/>
      <c r="P19" s="45" t="n"/>
      <c r="Q19" s="45" t="n"/>
      <c r="R19" s="58" t="n">
        <v>0</v>
      </c>
      <c r="S19" s="45" t="n"/>
      <c r="T19" s="45" t="n"/>
      <c r="U19" s="45" t="n"/>
      <c r="V19" s="58" t="n">
        <v>0</v>
      </c>
      <c r="W19" s="45" t="n"/>
      <c r="X19" s="45" t="n"/>
      <c r="Y19" s="45" t="n"/>
      <c r="Z19" s="58" t="n"/>
      <c r="AA19" s="45" t="n"/>
      <c r="AB19" s="45" t="n"/>
      <c r="AC19" s="45" t="n"/>
      <c r="AD19" s="45" t="n"/>
    </row>
    <row r="20" ht="39.75" customHeight="1">
      <c r="E20" s="51" t="n"/>
      <c r="F20" s="59" t="n"/>
      <c r="G20" s="55" t="n"/>
      <c r="H20" s="59" t="n"/>
      <c r="I20" s="55" t="n"/>
      <c r="J20" s="59" t="n"/>
      <c r="K20" s="41" t="n"/>
      <c r="L20" s="41" t="n"/>
      <c r="M20" s="41" t="n"/>
      <c r="N20" s="59" t="n"/>
      <c r="O20" s="41" t="n"/>
      <c r="P20" s="41" t="n"/>
      <c r="Q20" s="41" t="n"/>
      <c r="R20" s="59" t="n"/>
      <c r="S20" s="41" t="n"/>
      <c r="T20" s="41" t="n"/>
      <c r="U20" s="41" t="n"/>
      <c r="V20" s="59" t="n"/>
      <c r="W20" s="41" t="n"/>
      <c r="X20" s="41" t="n"/>
      <c r="Y20" s="41" t="n"/>
      <c r="Z20" s="59" t="n"/>
      <c r="AA20" s="41" t="n"/>
      <c r="AB20" s="41" t="n"/>
      <c r="AC20" s="41" t="n"/>
      <c r="AD20" s="41" t="n"/>
    </row>
    <row r="21" ht="39.75" customHeight="1">
      <c r="E21" s="51" t="n"/>
      <c r="F21" s="47" t="inlineStr">
        <is>
          <t>ERP 모듈</t>
        </is>
      </c>
      <c r="G21" s="48" t="n"/>
      <c r="H21" s="48" t="n"/>
      <c r="I21" s="49" t="n"/>
      <c r="J21" s="60">
        <f>클라우드!N59-J22</f>
        <v/>
      </c>
      <c r="K21" s="48" t="n"/>
      <c r="L21" s="48" t="n"/>
      <c r="M21" s="49" t="n"/>
      <c r="N21" s="60">
        <f>더존IDC!N66-N22</f>
        <v/>
      </c>
      <c r="O21" s="48" t="n"/>
      <c r="P21" s="48" t="n"/>
      <c r="Q21" s="49" t="n"/>
      <c r="R21" s="60">
        <f>더존IDC임대!N65-R22</f>
        <v/>
      </c>
      <c r="S21" s="48" t="n"/>
      <c r="T21" s="48" t="n"/>
      <c r="U21" s="49" t="n"/>
      <c r="V21" s="60">
        <f>고객IDC!N65-V22</f>
        <v/>
      </c>
      <c r="W21" s="48" t="n"/>
      <c r="X21" s="48" t="n"/>
      <c r="Y21" s="49" t="n"/>
      <c r="Z21" s="58" t="n"/>
      <c r="AA21" s="48" t="n"/>
      <c r="AB21" s="48" t="n"/>
      <c r="AC21" s="48" t="n"/>
      <c r="AD21" s="48" t="n"/>
    </row>
    <row r="22" ht="39.75" customHeight="1">
      <c r="E22" s="51" t="n"/>
      <c r="F22" s="47" t="inlineStr">
        <is>
          <t>UC(그룹웨어) 모듈</t>
        </is>
      </c>
      <c r="G22" s="48" t="n"/>
      <c r="H22" s="48" t="n"/>
      <c r="I22" s="49" t="n"/>
      <c r="J22" s="60">
        <f>SUBTOTAL(109,클라우드!N53:N58)</f>
        <v/>
      </c>
      <c r="K22" s="48" t="n"/>
      <c r="L22" s="48" t="n"/>
      <c r="M22" s="49" t="n"/>
      <c r="N22" s="60">
        <f>더존IDC!N60</f>
        <v/>
      </c>
      <c r="O22" s="48" t="n"/>
      <c r="P22" s="48" t="n"/>
      <c r="Q22" s="49" t="n"/>
      <c r="R22" s="60">
        <f>더존IDC임대!N58</f>
        <v/>
      </c>
      <c r="S22" s="48" t="n"/>
      <c r="T22" s="48" t="n"/>
      <c r="U22" s="49" t="n"/>
      <c r="V22" s="60">
        <f>고객IDC!N59</f>
        <v/>
      </c>
      <c r="W22" s="48" t="n"/>
      <c r="X22" s="48" t="n"/>
      <c r="Y22" s="49" t="n"/>
      <c r="Z22" s="58" t="n"/>
      <c r="AA22" s="48" t="n"/>
      <c r="AB22" s="48" t="n"/>
      <c r="AC22" s="48" t="n"/>
      <c r="AD22" s="48" t="n"/>
    </row>
    <row r="23" ht="39.75" customHeight="1">
      <c r="E23" s="51" t="n"/>
      <c r="F23" s="47" t="inlineStr">
        <is>
          <t>유저 라이선스</t>
        </is>
      </c>
      <c r="G23" s="48" t="n"/>
      <c r="H23" s="48" t="n"/>
      <c r="I23" s="49" t="n"/>
      <c r="J23" s="60" t="n">
        <v>0</v>
      </c>
      <c r="K23" s="48" t="n"/>
      <c r="L23" s="48" t="n"/>
      <c r="M23" s="49" t="n"/>
      <c r="N23" s="60">
        <f>더존IDC!N92</f>
        <v/>
      </c>
      <c r="O23" s="48" t="n"/>
      <c r="P23" s="48" t="n"/>
      <c r="Q23" s="49" t="n"/>
      <c r="R23" s="60">
        <f>더존IDC임대!N91</f>
        <v/>
      </c>
      <c r="S23" s="48" t="n"/>
      <c r="T23" s="48" t="n"/>
      <c r="U23" s="49" t="n"/>
      <c r="V23" s="60">
        <f>고객IDC!N91</f>
        <v/>
      </c>
      <c r="W23" s="48" t="n"/>
      <c r="X23" s="48" t="n"/>
      <c r="Y23" s="49" t="n"/>
      <c r="Z23" s="58" t="n"/>
      <c r="AA23" s="48" t="n"/>
      <c r="AB23" s="48" t="n"/>
      <c r="AC23" s="48" t="n"/>
      <c r="AD23" s="48" t="n"/>
    </row>
    <row r="24" ht="39.75" customHeight="1">
      <c r="E24" s="51" t="n"/>
      <c r="F24" s="47" t="inlineStr">
        <is>
          <t>전자결재 마이그레이션</t>
        </is>
      </c>
      <c r="G24" s="48" t="n"/>
      <c r="H24" s="48" t="n"/>
      <c r="I24" s="49" t="n"/>
      <c r="J24" s="60">
        <f>SUM(클라우드!N68:N69)</f>
        <v/>
      </c>
      <c r="K24" s="48" t="n"/>
      <c r="L24" s="48" t="n"/>
      <c r="M24" s="49" t="n"/>
      <c r="N24" s="60">
        <f>SUM(더존IDC!N98:N99)</f>
        <v/>
      </c>
      <c r="O24" s="48" t="n"/>
      <c r="P24" s="48" t="n"/>
      <c r="Q24" s="49" t="n"/>
      <c r="R24" s="60">
        <f>SUM(더존IDC임대!N97:N98)</f>
        <v/>
      </c>
      <c r="S24" s="48" t="n"/>
      <c r="T24" s="48" t="n"/>
      <c r="U24" s="49" t="n"/>
      <c r="V24" s="60">
        <f>SUM(고객IDC!N97:N98)</f>
        <v/>
      </c>
      <c r="W24" s="48" t="n"/>
      <c r="X24" s="48" t="n"/>
      <c r="Y24" s="49" t="n"/>
      <c r="Z24" s="58" t="n"/>
      <c r="AA24" s="48" t="n"/>
      <c r="AB24" s="48" t="n"/>
      <c r="AC24" s="48" t="n"/>
      <c r="AD24" s="48" t="n"/>
    </row>
    <row r="25" ht="39.75" customHeight="1">
      <c r="E25" s="51" t="n"/>
      <c r="F25" s="47" t="inlineStr">
        <is>
          <t>게시판 마이그레이션</t>
        </is>
      </c>
      <c r="G25" s="48" t="n"/>
      <c r="H25" s="48" t="n"/>
      <c r="I25" s="49" t="n"/>
      <c r="J25" s="60">
        <f>SUM(클라우드!N70:N71)</f>
        <v/>
      </c>
      <c r="K25" s="48" t="n"/>
      <c r="L25" s="48" t="n"/>
      <c r="M25" s="49" t="n"/>
      <c r="N25" s="60">
        <f>SUM(더존IDC!N100:N101)</f>
        <v/>
      </c>
      <c r="O25" s="48" t="n"/>
      <c r="P25" s="48" t="n"/>
      <c r="Q25" s="49" t="n"/>
      <c r="R25" s="60">
        <f>SUM(더존IDC임대!N99:N100)</f>
        <v/>
      </c>
      <c r="S25" s="48" t="n"/>
      <c r="T25" s="48" t="n"/>
      <c r="U25" s="49" t="n"/>
      <c r="V25" s="60">
        <f>SUM(고객IDC!N99:N100)</f>
        <v/>
      </c>
      <c r="W25" s="48" t="n"/>
      <c r="X25" s="48" t="n"/>
      <c r="Y25" s="49" t="n"/>
      <c r="Z25" s="58" t="n"/>
      <c r="AA25" s="48" t="n"/>
      <c r="AB25" s="48" t="n"/>
      <c r="AC25" s="48" t="n"/>
      <c r="AD25" s="48" t="n"/>
    </row>
    <row r="26" ht="39.75" customHeight="1">
      <c r="E26" s="51" t="n"/>
      <c r="F26" s="47" t="inlineStr">
        <is>
          <t>구축 교육비</t>
        </is>
      </c>
      <c r="G26" s="48" t="n"/>
      <c r="H26" s="48" t="n"/>
      <c r="I26" s="49" t="n"/>
      <c r="J26" s="60">
        <f>클라우드!N109</f>
        <v/>
      </c>
      <c r="K26" s="48" t="n"/>
      <c r="L26" s="48" t="n"/>
      <c r="M26" s="49" t="n"/>
      <c r="N26" s="60">
        <f>더존IDC!N148</f>
        <v/>
      </c>
      <c r="O26" s="48" t="n"/>
      <c r="P26" s="48" t="n"/>
      <c r="Q26" s="49" t="n"/>
      <c r="R26" s="60">
        <f>더존IDC임대!N147</f>
        <v/>
      </c>
      <c r="S26" s="48" t="n"/>
      <c r="T26" s="48" t="n"/>
      <c r="U26" s="49" t="n"/>
      <c r="V26" s="60">
        <f>고객IDC!N147</f>
        <v/>
      </c>
      <c r="W26" s="48" t="n"/>
      <c r="X26" s="48" t="n"/>
      <c r="Y26" s="49" t="n"/>
      <c r="Z26" s="58" t="n"/>
      <c r="AA26" s="48" t="n"/>
      <c r="AB26" s="48" t="n"/>
      <c r="AC26" s="48" t="n"/>
      <c r="AD26" s="48" t="n"/>
    </row>
    <row r="27" ht="39.75" customHeight="1">
      <c r="E27" s="51" t="n"/>
      <c r="F27" s="47" t="inlineStr">
        <is>
          <t>필수 S/W 라이선스</t>
        </is>
      </c>
      <c r="G27" s="48" t="n"/>
      <c r="H27" s="48" t="n"/>
      <c r="I27" s="49" t="n"/>
      <c r="J27" s="60" t="n">
        <v>0</v>
      </c>
      <c r="K27" s="48" t="n"/>
      <c r="L27" s="48" t="n"/>
      <c r="M27" s="49" t="n"/>
      <c r="N27" s="60" t="n">
        <v>0</v>
      </c>
      <c r="O27" s="48" t="n"/>
      <c r="P27" s="48" t="n"/>
      <c r="Q27" s="49" t="n"/>
      <c r="R27" s="60" t="n">
        <v>0</v>
      </c>
      <c r="S27" s="48" t="n"/>
      <c r="T27" s="48" t="n"/>
      <c r="U27" s="49" t="n"/>
      <c r="V27" s="60" t="n">
        <v>0</v>
      </c>
      <c r="W27" s="48" t="n"/>
      <c r="X27" s="48" t="n"/>
      <c r="Y27" s="49" t="n"/>
      <c r="Z27" s="58" t="n"/>
      <c r="AA27" s="48" t="n"/>
      <c r="AB27" s="48" t="n"/>
      <c r="AC27" s="48" t="n"/>
      <c r="AD27" s="48" t="n"/>
    </row>
    <row r="28" ht="39.75" customHeight="1">
      <c r="B28" s="41" t="n"/>
      <c r="C28" s="41" t="n"/>
      <c r="D28" s="41" t="n"/>
      <c r="E28" s="55" t="n"/>
      <c r="F28" s="47" t="inlineStr">
        <is>
          <t>서버 H/W 매입</t>
        </is>
      </c>
      <c r="G28" s="48" t="n"/>
      <c r="H28" s="48" t="n"/>
      <c r="I28" s="49" t="n"/>
      <c r="J28" s="60" t="n">
        <v>0</v>
      </c>
      <c r="K28" s="48" t="n"/>
      <c r="L28" s="48" t="n"/>
      <c r="M28" s="49" t="n"/>
      <c r="N28" s="61" t="inlineStr">
        <is>
          <t>자체구매</t>
        </is>
      </c>
      <c r="O28" s="48" t="n"/>
      <c r="P28" s="48" t="n"/>
      <c r="Q28" s="49" t="n"/>
      <c r="R28" s="61">
        <f>더존IDC임대!N156</f>
        <v/>
      </c>
      <c r="S28" s="48" t="n"/>
      <c r="T28" s="48" t="n"/>
      <c r="U28" s="49" t="n"/>
      <c r="V28" s="61" t="inlineStr">
        <is>
          <t>자체구매</t>
        </is>
      </c>
      <c r="W28" s="48" t="n"/>
      <c r="X28" s="48" t="n"/>
      <c r="Y28" s="49" t="n"/>
      <c r="Z28" s="58" t="n"/>
      <c r="AA28" s="48" t="n"/>
      <c r="AB28" s="48" t="n"/>
      <c r="AC28" s="48" t="n"/>
      <c r="AD28" s="48" t="n"/>
    </row>
    <row r="29" ht="39.75" customHeight="1">
      <c r="B29" s="62" t="inlineStr">
        <is>
          <t>서비스 이용료</t>
        </is>
      </c>
      <c r="C29" s="45" t="n"/>
      <c r="D29" s="45" t="n"/>
      <c r="E29" s="46" t="n"/>
      <c r="F29" s="57" t="inlineStr">
        <is>
          <t>월납 비용(사용료 등)</t>
        </is>
      </c>
      <c r="G29" s="48" t="n"/>
      <c r="H29" s="48" t="n"/>
      <c r="I29" s="49" t="n"/>
      <c r="J29" s="60" t="n">
        <v>0</v>
      </c>
      <c r="K29" s="48" t="n"/>
      <c r="L29" s="48" t="n"/>
      <c r="M29" s="49" t="n"/>
      <c r="N29" s="60">
        <f>더존IDC!N188</f>
        <v/>
      </c>
      <c r="O29" s="48" t="n"/>
      <c r="P29" s="48" t="n"/>
      <c r="Q29" s="49" t="n"/>
      <c r="R29" s="60">
        <f>더존IDC임대!N185</f>
        <v/>
      </c>
      <c r="S29" s="48" t="n"/>
      <c r="T29" s="48" t="n"/>
      <c r="U29" s="49" t="n"/>
      <c r="V29" s="60" t="n">
        <v>0</v>
      </c>
      <c r="W29" s="48" t="n"/>
      <c r="X29" s="48" t="n"/>
      <c r="Y29" s="49" t="n"/>
      <c r="Z29" s="58" t="n"/>
      <c r="AA29" s="48" t="n"/>
      <c r="AB29" s="48" t="n"/>
      <c r="AC29" s="48" t="n"/>
      <c r="AD29" s="48" t="n"/>
    </row>
    <row r="30" ht="39.75" customHeight="1">
      <c r="E30" s="51" t="n"/>
      <c r="F30" s="47" t="inlineStr">
        <is>
          <t>월납 비용(ONE AI)</t>
        </is>
      </c>
      <c r="G30" s="48" t="n"/>
      <c r="H30" s="48" t="n"/>
      <c r="I30" s="49" t="n"/>
      <c r="J30" s="60" t="n">
        <v>250000</v>
      </c>
      <c r="K30" s="48" t="n"/>
      <c r="L30" s="48" t="n"/>
      <c r="M30" s="49" t="n"/>
      <c r="N30" s="60" t="n">
        <v>250000</v>
      </c>
      <c r="O30" s="48" t="n"/>
      <c r="P30" s="48" t="n"/>
      <c r="Q30" s="49" t="n"/>
      <c r="R30" s="60" t="n">
        <v>250000</v>
      </c>
      <c r="S30" s="48" t="n"/>
      <c r="T30" s="48" t="n"/>
      <c r="U30" s="49" t="n"/>
      <c r="V30" s="60" t="n">
        <v>250000</v>
      </c>
      <c r="W30" s="48" t="n"/>
      <c r="X30" s="48" t="n"/>
      <c r="Y30" s="49" t="n"/>
      <c r="Z30" s="58" t="n"/>
      <c r="AA30" s="48" t="n"/>
      <c r="AB30" s="48" t="n"/>
      <c r="AC30" s="48" t="n"/>
      <c r="AD30" s="48" t="n"/>
    </row>
    <row r="31" ht="39.75" customHeight="1">
      <c r="E31" s="51" t="n"/>
      <c r="F31" s="47" t="inlineStr">
        <is>
          <t>연납 비용(유지보수)</t>
        </is>
      </c>
      <c r="G31" s="48" t="n"/>
      <c r="H31" s="48" t="n"/>
      <c r="I31" s="49" t="n"/>
      <c r="J31" s="60">
        <f>클라우드!N122*12+클라우드!N125</f>
        <v/>
      </c>
      <c r="K31" s="48" t="n"/>
      <c r="L31" s="48" t="n"/>
      <c r="M31" s="49" t="n"/>
      <c r="N31" s="60">
        <f>더존IDC!N212</f>
        <v/>
      </c>
      <c r="O31" s="48" t="n"/>
      <c r="P31" s="48" t="n"/>
      <c r="Q31" s="49" t="n"/>
      <c r="R31" s="60">
        <f>더존IDC임대!N210</f>
        <v/>
      </c>
      <c r="S31" s="48" t="n"/>
      <c r="T31" s="48" t="n"/>
      <c r="U31" s="49" t="n"/>
      <c r="V31" s="60">
        <f>고객IDC!N199</f>
        <v/>
      </c>
      <c r="W31" s="48" t="n"/>
      <c r="X31" s="48" t="n"/>
      <c r="Y31" s="49" t="n"/>
      <c r="Z31" s="58" t="n"/>
      <c r="AA31" s="48" t="n"/>
      <c r="AB31" s="48" t="n"/>
      <c r="AC31" s="48" t="n"/>
      <c r="AD31" s="48" t="n"/>
    </row>
    <row r="32" ht="45" customHeight="1">
      <c r="B32" s="63" t="inlineStr">
        <is>
          <t>일회납 비용</t>
        </is>
      </c>
      <c r="C32" s="64" t="n"/>
      <c r="D32" s="64" t="n"/>
      <c r="E32" s="64" t="n"/>
      <c r="F32" s="64" t="n"/>
      <c r="G32" s="64" t="n"/>
      <c r="H32" s="64" t="n"/>
      <c r="I32" s="65" t="n"/>
      <c r="J32" s="66">
        <f>SUM(J21:M28)</f>
        <v/>
      </c>
      <c r="K32" s="64" t="n"/>
      <c r="L32" s="64" t="n"/>
      <c r="M32" s="65" t="n"/>
      <c r="N32" s="66">
        <f>SUM(N21:Q28)</f>
        <v/>
      </c>
      <c r="O32" s="64" t="n"/>
      <c r="P32" s="64" t="n"/>
      <c r="Q32" s="65" t="n"/>
      <c r="R32" s="66">
        <f>SUM(R21:U28)</f>
        <v/>
      </c>
      <c r="S32" s="64" t="n"/>
      <c r="T32" s="64" t="n"/>
      <c r="U32" s="65" t="n"/>
      <c r="V32" s="66">
        <f>SUM(V21:Y28)</f>
        <v/>
      </c>
      <c r="W32" s="64" t="n"/>
      <c r="X32" s="64" t="n"/>
      <c r="Y32" s="65" t="n"/>
      <c r="Z32" s="67" t="inlineStr">
        <is>
          <t>라이선스 및 구축비</t>
        </is>
      </c>
      <c r="AA32" s="64" t="n"/>
      <c r="AB32" s="64" t="n"/>
      <c r="AC32" s="64" t="n"/>
      <c r="AD32" s="64" t="n"/>
    </row>
    <row r="33" ht="45" customHeight="1">
      <c r="B33" s="68" t="inlineStr">
        <is>
          <t>월납 비용</t>
        </is>
      </c>
      <c r="C33" s="14" t="n"/>
      <c r="D33" s="14" t="n"/>
      <c r="E33" s="14" t="n"/>
      <c r="F33" s="14" t="n"/>
      <c r="G33" s="14" t="n"/>
      <c r="H33" s="14" t="n"/>
      <c r="I33" s="69" t="n"/>
      <c r="J33" s="70">
        <f>SUM(J29:M30)</f>
        <v/>
      </c>
      <c r="K33" s="14" t="n"/>
      <c r="L33" s="14" t="n"/>
      <c r="M33" s="69" t="n"/>
      <c r="N33" s="70">
        <f>SUM(N29:Q30)</f>
        <v/>
      </c>
      <c r="O33" s="14" t="n"/>
      <c r="P33" s="14" t="n"/>
      <c r="Q33" s="69" t="n"/>
      <c r="R33" s="70">
        <f>SUM(R29:U30)</f>
        <v/>
      </c>
      <c r="S33" s="14" t="n"/>
      <c r="T33" s="14" t="n"/>
      <c r="U33" s="69" t="n"/>
      <c r="V33" s="70">
        <f>SUM(V29:Y30)</f>
        <v/>
      </c>
      <c r="W33" s="14" t="n"/>
      <c r="X33" s="14" t="n"/>
      <c r="Y33" s="69" t="n"/>
      <c r="Z33" s="71" t="inlineStr">
        <is>
          <t>SSL인증서, IDC사용, ONE AI</t>
        </is>
      </c>
      <c r="AA33" s="14" t="n"/>
      <c r="AB33" s="14" t="n"/>
      <c r="AC33" s="14" t="n"/>
      <c r="AD33" s="14" t="n"/>
    </row>
    <row r="34" ht="45" customHeight="1">
      <c r="B34" s="72" t="inlineStr">
        <is>
          <t>연납 비용</t>
        </is>
      </c>
      <c r="C34" s="73" t="n"/>
      <c r="D34" s="73" t="n"/>
      <c r="E34" s="73" t="n"/>
      <c r="F34" s="73" t="n"/>
      <c r="G34" s="73" t="n"/>
      <c r="H34" s="73" t="n"/>
      <c r="I34" s="74" t="n"/>
      <c r="J34" s="75">
        <f>SUM(J31:M31)</f>
        <v/>
      </c>
      <c r="K34" s="73" t="n"/>
      <c r="L34" s="73" t="n"/>
      <c r="M34" s="74" t="n"/>
      <c r="N34" s="75">
        <f>SUM(N31:Q31)</f>
        <v/>
      </c>
      <c r="O34" s="73" t="n"/>
      <c r="P34" s="73" t="n"/>
      <c r="Q34" s="74" t="n"/>
      <c r="R34" s="75">
        <f>SUM(R31:U31)</f>
        <v/>
      </c>
      <c r="S34" s="73" t="n"/>
      <c r="T34" s="73" t="n"/>
      <c r="U34" s="74" t="n"/>
      <c r="V34" s="75">
        <f>SUM(V31:Y31)</f>
        <v/>
      </c>
      <c r="W34" s="73" t="n"/>
      <c r="X34" s="73" t="n"/>
      <c r="Y34" s="74" t="n"/>
      <c r="Z34" s="76" t="inlineStr">
        <is>
          <t>유지보수비용</t>
        </is>
      </c>
      <c r="AA34" s="73" t="n"/>
      <c r="AB34" s="73" t="n"/>
      <c r="AC34" s="73" t="n"/>
      <c r="AD34" s="73" t="n"/>
    </row>
    <row r="35" ht="24" customHeight="1">
      <c r="B35" s="77" t="n"/>
      <c r="C35" s="77" t="n"/>
      <c r="D35" s="77" t="n"/>
      <c r="E35" s="77" t="n"/>
      <c r="F35" s="77" t="n"/>
      <c r="G35" s="77" t="n"/>
      <c r="H35" s="77" t="n"/>
      <c r="I35" s="77" t="n"/>
      <c r="J35" s="78" t="n"/>
      <c r="K35" s="78" t="n"/>
      <c r="L35" s="79" t="n"/>
      <c r="M35" s="80" t="n"/>
      <c r="N35" s="80" t="n"/>
      <c r="O35" s="79" t="n"/>
      <c r="P35" s="77" t="n"/>
      <c r="Q35" s="77" t="n"/>
      <c r="R35" s="81" t="n"/>
      <c r="S35" s="45" t="n"/>
      <c r="T35" s="45" t="n"/>
      <c r="U35" s="45" t="n"/>
      <c r="V35" s="77" t="n"/>
      <c r="W35" s="77" t="n"/>
      <c r="X35" s="77" t="n"/>
      <c r="Y35" s="77" t="n"/>
      <c r="Z35" s="77" t="n"/>
      <c r="AA35" s="77" t="n"/>
      <c r="AB35" s="77" t="n"/>
      <c r="AC35" s="77" t="n"/>
      <c r="AD35" s="77" t="n"/>
    </row>
    <row r="36" ht="39.75" customHeight="1">
      <c r="B36" s="82" t="inlineStr">
        <is>
          <t>[ Remarks ]</t>
        </is>
      </c>
      <c r="C36" s="83" t="n"/>
      <c r="D36" s="83" t="n"/>
      <c r="E36" s="77" t="n"/>
      <c r="F36" s="77" t="n"/>
      <c r="G36" s="77" t="n"/>
      <c r="H36" s="77" t="n"/>
      <c r="I36" s="77" t="n"/>
      <c r="J36" s="78" t="n"/>
      <c r="K36" s="78" t="n"/>
      <c r="L36" s="79" t="n"/>
      <c r="M36" s="80" t="n"/>
      <c r="N36" s="80" t="n"/>
      <c r="O36" s="79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</row>
    <row r="37" ht="24.95" customHeight="1">
      <c r="B37" s="33" t="inlineStr">
        <is>
          <t>1. 상기 견적가는 V.A.T. 별도입니다.</t>
        </is>
      </c>
      <c r="C37" s="77" t="n"/>
      <c r="D37" s="77" t="n"/>
      <c r="E37" s="77" t="n"/>
      <c r="F37" s="77" t="n"/>
      <c r="G37" s="77" t="n"/>
      <c r="H37" s="77" t="n"/>
      <c r="I37" s="77" t="n"/>
      <c r="J37" s="78" t="n"/>
      <c r="K37" s="78" t="n"/>
      <c r="L37" s="79" t="n"/>
      <c r="M37" s="80" t="n"/>
      <c r="N37" s="80" t="n"/>
      <c r="O37" s="79" t="n"/>
      <c r="P37" s="77" t="n"/>
      <c r="Q37" s="77" t="n"/>
      <c r="R37" s="77" t="n"/>
      <c r="S37" s="77" t="n"/>
      <c r="T37" s="77" t="n"/>
      <c r="U37" s="77" t="n"/>
      <c r="V37" s="77" t="n"/>
      <c r="W37" s="77" t="n"/>
      <c r="X37" s="77" t="n"/>
      <c r="Y37" s="77" t="n"/>
      <c r="Z37" s="77" t="n"/>
      <c r="AA37" s="77" t="n"/>
      <c r="AB37" s="77" t="n"/>
      <c r="AC37" s="77" t="n"/>
      <c r="AD37" s="77" t="n"/>
    </row>
    <row r="38" ht="24.95" customHeight="1">
      <c r="B38" s="33" t="inlineStr">
        <is>
          <t>2. 본 견적사항 이외의 추가사항은 별도 협의가 필요합니다.</t>
        </is>
      </c>
      <c r="C38" s="77" t="n"/>
      <c r="D38" s="77" t="n"/>
      <c r="E38" s="77" t="n"/>
      <c r="F38" s="77" t="n"/>
      <c r="G38" s="77" t="n"/>
      <c r="H38" s="77" t="n"/>
      <c r="I38" s="77" t="n"/>
      <c r="J38" s="78" t="n"/>
      <c r="K38" s="78" t="n"/>
      <c r="L38" s="79" t="n"/>
      <c r="M38" s="80" t="n"/>
      <c r="N38" s="80" t="n"/>
      <c r="O38" s="79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</row>
    <row r="39" ht="24.95" customHeight="1">
      <c r="B39" s="33" t="inlineStr">
        <is>
          <t>3. 상기 서비스는 ㈜더존비즈온 D-클라우드 센터 이용약관을 따릅니다.</t>
        </is>
      </c>
      <c r="C39" s="77" t="n"/>
      <c r="D39" s="77" t="n"/>
      <c r="E39" s="77" t="n"/>
      <c r="F39" s="77" t="n"/>
      <c r="G39" s="77" t="n"/>
      <c r="H39" s="77" t="n"/>
      <c r="I39" s="77" t="n"/>
      <c r="J39" s="78" t="n"/>
      <c r="K39" s="78" t="n"/>
      <c r="L39" s="79" t="n"/>
      <c r="M39" s="80" t="n"/>
      <c r="N39" s="80" t="n"/>
      <c r="O39" s="79" t="n"/>
      <c r="P39" s="77" t="n"/>
      <c r="Q39" s="77" t="n"/>
      <c r="R39" s="77" t="n"/>
      <c r="S39" s="77" t="n"/>
      <c r="T39" s="77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n"/>
    </row>
    <row r="40" ht="24.95" customHeight="1">
      <c r="B40" s="84" t="inlineStr">
        <is>
          <t>4. 견적 유효기간은 견적일로 부터 14일 입니다.</t>
        </is>
      </c>
      <c r="C40" s="77" t="n"/>
      <c r="D40" s="77" t="n"/>
      <c r="E40" s="77" t="n"/>
      <c r="F40" s="77" t="n"/>
      <c r="G40" s="77" t="n"/>
      <c r="H40" s="77" t="n"/>
      <c r="I40" s="77" t="n"/>
      <c r="J40" s="78" t="n"/>
      <c r="K40" s="78" t="n"/>
      <c r="L40" s="79" t="n"/>
      <c r="M40" s="80" t="n"/>
      <c r="N40" s="80" t="n"/>
      <c r="O40" s="79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</row>
    <row r="41" ht="24.95" customHeight="1">
      <c r="B41" s="33" t="inlineStr">
        <is>
          <t>※ 아마란스10 모바일은 안드로이드 버전 8.0 이상 지원합니다.</t>
        </is>
      </c>
      <c r="C41" s="77" t="n"/>
      <c r="D41" s="77" t="n"/>
      <c r="E41" s="77" t="n"/>
      <c r="F41" s="77" t="n"/>
      <c r="G41" s="77" t="n"/>
      <c r="H41" s="77" t="n"/>
      <c r="I41" s="77" t="n"/>
      <c r="J41" s="78" t="n"/>
      <c r="K41" s="78" t="n"/>
      <c r="L41" s="79" t="n"/>
      <c r="M41" s="80" t="n"/>
      <c r="N41" s="80" t="n"/>
      <c r="O41" s="79" t="n"/>
      <c r="P41" s="77" t="n"/>
      <c r="Q41" s="77" t="n"/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</row>
    <row r="42" ht="15" customHeight="1"/>
    <row r="43" ht="39.75" customHeight="1"/>
    <row r="44" ht="39.75" customHeight="1"/>
    <row r="45" ht="39.75" customHeight="1"/>
    <row r="46" ht="39.75" customHeight="1"/>
    <row r="47" ht="39.75" customHeight="1"/>
    <row r="48" ht="39.75" customHeight="1"/>
    <row r="49" ht="39.75" customHeight="1"/>
    <row r="50" ht="39.75" customHeight="1"/>
    <row r="51" ht="39.75" customHeight="1"/>
    <row r="52" ht="39.75" customHeight="1"/>
    <row r="53" ht="39.75" customHeight="1"/>
    <row r="54" ht="39.75" customHeight="1"/>
    <row r="55" ht="39.75" customHeight="1"/>
    <row r="56" ht="39.75" customHeight="1"/>
    <row r="57" ht="39.75" customHeight="1"/>
    <row r="58" ht="39.75" customHeight="1"/>
    <row r="59" ht="39.75" customHeight="1"/>
    <row r="60" ht="39.75" customHeight="1"/>
    <row r="61" ht="39.75" customHeight="1"/>
    <row r="62" ht="39.75" customHeight="1"/>
    <row r="63" ht="39.75" customHeight="1"/>
    <row r="64" ht="39.75" customHeight="1"/>
    <row r="65" ht="39.75" customHeight="1"/>
    <row r="66" ht="39.75" customHeight="1"/>
    <row r="67" ht="39.75" customHeight="1"/>
    <row r="68" ht="39.75" customHeight="1"/>
    <row r="69" ht="39.75" customHeight="1"/>
    <row r="70" ht="39.75" customHeight="1"/>
    <row r="71" ht="39.75" customHeight="1"/>
    <row r="72" ht="39.75" customHeight="1"/>
    <row r="73" ht="39.75" customHeight="1"/>
    <row r="74" ht="39.75" customHeight="1"/>
    <row r="75" ht="39.75" customHeight="1"/>
    <row r="76" ht="39.75" customHeight="1"/>
    <row r="77" ht="39.75" customHeight="1"/>
    <row r="78" ht="39.75" customHeight="1"/>
    <row r="79" ht="39.75" customHeight="1"/>
    <row r="80" ht="39.75" customHeight="1"/>
    <row r="81" ht="39.75" customHeight="1"/>
    <row r="82" ht="39.75" customHeight="1"/>
    <row r="83" ht="39.75" customHeight="1"/>
    <row r="84" ht="39.75" customHeight="1"/>
    <row r="85" ht="39.75" customHeight="1"/>
    <row r="86" ht="39.75" customHeight="1"/>
    <row r="87" ht="39.75" customHeight="1"/>
    <row r="88" ht="39.75" customHeight="1"/>
    <row r="89" ht="39.75" customHeight="1"/>
    <row r="90" ht="39.75" customHeight="1"/>
    <row r="91" ht="39.75" customHeight="1"/>
    <row r="92" ht="39.75" customHeight="1"/>
    <row r="93" ht="39.75" customHeight="1"/>
    <row r="94" ht="39.75" customHeight="1"/>
    <row r="95" ht="39.75" customHeight="1"/>
    <row r="96" ht="39.75" customHeight="1"/>
    <row r="97" ht="23.25" customHeight="1"/>
    <row r="98" ht="16.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</sheetData>
  <mergeCells count="141">
    <mergeCell ref="V32:Y32"/>
    <mergeCell ref="R19:U20"/>
    <mergeCell ref="V26:Y26"/>
    <mergeCell ref="F27:I27"/>
    <mergeCell ref="N34:Q34"/>
    <mergeCell ref="Z27:AD27"/>
    <mergeCell ref="V25:Y25"/>
    <mergeCell ref="H19:I20"/>
    <mergeCell ref="J33:M33"/>
    <mergeCell ref="AB11:AD11"/>
    <mergeCell ref="N27:Q27"/>
    <mergeCell ref="Z25:AD25"/>
    <mergeCell ref="F29:I29"/>
    <mergeCell ref="F16:I16"/>
    <mergeCell ref="F25:I25"/>
    <mergeCell ref="R28:U28"/>
    <mergeCell ref="J28:M28"/>
    <mergeCell ref="F6:L6"/>
    <mergeCell ref="Z17:AD17"/>
    <mergeCell ref="N22:Q22"/>
    <mergeCell ref="R13:U13"/>
    <mergeCell ref="F7:M8"/>
    <mergeCell ref="F15:I15"/>
    <mergeCell ref="N12:Q12"/>
    <mergeCell ref="V29:Y29"/>
    <mergeCell ref="R30:U30"/>
    <mergeCell ref="J30:M30"/>
    <mergeCell ref="W6:AD7"/>
    <mergeCell ref="W9:AD9"/>
    <mergeCell ref="B4:Y4"/>
    <mergeCell ref="V31:Y31"/>
    <mergeCell ref="N14:Q14"/>
    <mergeCell ref="R12:U12"/>
    <mergeCell ref="Z3:AD4"/>
    <mergeCell ref="R21:U21"/>
    <mergeCell ref="B29:E31"/>
    <mergeCell ref="B7:E8"/>
    <mergeCell ref="B13:E17"/>
    <mergeCell ref="F23:I23"/>
    <mergeCell ref="Z31:AD31"/>
    <mergeCell ref="R32:U32"/>
    <mergeCell ref="F13:I13"/>
    <mergeCell ref="N31:Q31"/>
    <mergeCell ref="S5:V5"/>
    <mergeCell ref="N24:Q24"/>
    <mergeCell ref="Z32:AD32"/>
    <mergeCell ref="B12:I12"/>
    <mergeCell ref="Z26:AD26"/>
    <mergeCell ref="R33:U33"/>
    <mergeCell ref="J23:M23"/>
    <mergeCell ref="N26:Q26"/>
    <mergeCell ref="Z16:AD16"/>
    <mergeCell ref="V33:Y33"/>
    <mergeCell ref="N25:Q25"/>
    <mergeCell ref="S6:V7"/>
    <mergeCell ref="N19:Q20"/>
    <mergeCell ref="Z33:AD33"/>
    <mergeCell ref="F30:I30"/>
    <mergeCell ref="J34:M34"/>
    <mergeCell ref="R25:U25"/>
    <mergeCell ref="V34:Y34"/>
    <mergeCell ref="V28:Y28"/>
    <mergeCell ref="J27:M27"/>
    <mergeCell ref="F17:I17"/>
    <mergeCell ref="B33:I33"/>
    <mergeCell ref="Z34:AD34"/>
    <mergeCell ref="Z28:AD28"/>
    <mergeCell ref="V30:Y30"/>
    <mergeCell ref="N29:Q29"/>
    <mergeCell ref="F28:I28"/>
    <mergeCell ref="J16:Y16"/>
    <mergeCell ref="J22:M22"/>
    <mergeCell ref="Z30:AD30"/>
    <mergeCell ref="N13:Q13"/>
    <mergeCell ref="J31:M31"/>
    <mergeCell ref="B6:E6"/>
    <mergeCell ref="S8:V9"/>
    <mergeCell ref="J12:M12"/>
    <mergeCell ref="J21:M21"/>
    <mergeCell ref="V19:Y20"/>
    <mergeCell ref="R23:U23"/>
    <mergeCell ref="V21:Y21"/>
    <mergeCell ref="N32:Q32"/>
    <mergeCell ref="V23:Y23"/>
    <mergeCell ref="F19:G20"/>
    <mergeCell ref="V13:Y13"/>
    <mergeCell ref="R34:U34"/>
    <mergeCell ref="J24:M24"/>
    <mergeCell ref="V24:Y24"/>
    <mergeCell ref="N33:Q33"/>
    <mergeCell ref="J15:Y15"/>
    <mergeCell ref="R27:U27"/>
    <mergeCell ref="J26:M26"/>
    <mergeCell ref="B3:Y3"/>
    <mergeCell ref="Z24:AD24"/>
    <mergeCell ref="V27:Y27"/>
    <mergeCell ref="J25:M25"/>
    <mergeCell ref="B32:I32"/>
    <mergeCell ref="F22:I22"/>
    <mergeCell ref="J19:M20"/>
    <mergeCell ref="B9:E9"/>
    <mergeCell ref="F31:I31"/>
    <mergeCell ref="N28:Q28"/>
    <mergeCell ref="R22:U22"/>
    <mergeCell ref="B5:E5"/>
    <mergeCell ref="N30:Q30"/>
    <mergeCell ref="W5:AD5"/>
    <mergeCell ref="Z19:AD20"/>
    <mergeCell ref="V22:Y22"/>
    <mergeCell ref="F14:I14"/>
    <mergeCell ref="R14:U14"/>
    <mergeCell ref="V12:Y12"/>
    <mergeCell ref="J17:Y17"/>
    <mergeCell ref="Z22:AD22"/>
    <mergeCell ref="F5:M5"/>
    <mergeCell ref="R29:U29"/>
    <mergeCell ref="J14:M14"/>
    <mergeCell ref="J29:M29"/>
    <mergeCell ref="Z12:AD12"/>
    <mergeCell ref="V14:Y14"/>
    <mergeCell ref="J13:M13"/>
    <mergeCell ref="Z21:AD21"/>
    <mergeCell ref="R31:U31"/>
    <mergeCell ref="B34:I34"/>
    <mergeCell ref="N21:Q21"/>
    <mergeCell ref="F24:I24"/>
    <mergeCell ref="Z14:AD14"/>
    <mergeCell ref="F21:I21"/>
    <mergeCell ref="Z29:AD29"/>
    <mergeCell ref="J32:M32"/>
    <mergeCell ref="Z23:AD23"/>
    <mergeCell ref="R24:U24"/>
    <mergeCell ref="Z13:AD13"/>
    <mergeCell ref="F26:I26"/>
    <mergeCell ref="N23:Q23"/>
    <mergeCell ref="F9:M9"/>
    <mergeCell ref="W8:AD8"/>
    <mergeCell ref="R26:U26"/>
    <mergeCell ref="B19:E28"/>
    <mergeCell ref="R35:U35"/>
    <mergeCell ref="Z15:AD15"/>
  </mergeCells>
  <pageMargins left="0.4" right="0.4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2026-04-10T09:08:21Z</dcterms:created>
  <dcterms:modified xmlns:dcterms="http://purl.org/dc/terms/" xmlns:xsi="http://www.w3.org/2001/XMLSchema-instance" xsi:type="dcterms:W3CDTF">2026-04-10T09:28:30Z</dcterms:modified>
</cp:coreProperties>
</file>