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53222"/>
  <mc:AlternateContent xmlns:mc="http://schemas.openxmlformats.org/markup-compatibility/2006">
    <mc:Choice Requires="x15">
      <x15ac:absPath xmlns:x15ac="http://schemas.microsoft.com/office/spreadsheetml/2010/11/ac" url="C:\Users\yslee2373\Documents\Amaranth10\"/>
    </mc:Choice>
  </mc:AlternateContent>
  <bookViews>
    <workbookView xWindow="0" yWindow="0" windowWidth="28800" windowHeight="12165" tabRatio="904" firstSheet="1" activeTab="1"/>
  </bookViews>
  <sheets>
    <sheet name="표지" sheetId="9" r:id="rId1"/>
    <sheet name="Amaranth 10 Cloud 견적서" sheetId="19" r:id="rId2"/>
    <sheet name="교육비" sheetId="21" r:id="rId3"/>
    <sheet name="ONE AI" sheetId="22" r:id="rId4"/>
    <sheet name="마케팅" sheetId="2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A2040" localSheetId="1" hidden="1">{#N/A,#N/A,FALSE,"단축1";#N/A,#N/A,FALSE,"단축2";#N/A,#N/A,FALSE,"단축3";#N/A,#N/A,FALSE,"장축";#N/A,#N/A,FALSE,"4WD"}</definedName>
    <definedName name="_____A2040" localSheetId="3" hidden="1">{#N/A,#N/A,FALSE,"단축1";#N/A,#N/A,FALSE,"단축2";#N/A,#N/A,FALSE,"단축3";#N/A,#N/A,FALSE,"장축";#N/A,#N/A,FALSE,"4WD"}</definedName>
    <definedName name="_____A2040" localSheetId="0" hidden="1">{#N/A,#N/A,FALSE,"단축1";#N/A,#N/A,FALSE,"단축2";#N/A,#N/A,FALSE,"단축3";#N/A,#N/A,FALSE,"장축";#N/A,#N/A,FALSE,"4WD"}</definedName>
    <definedName name="_____A2040" hidden="1">{#N/A,#N/A,FALSE,"단축1";#N/A,#N/A,FALSE,"단축2";#N/A,#N/A,FALSE,"단축3";#N/A,#N/A,FALSE,"장축";#N/A,#N/A,FALSE,"4WD"}</definedName>
    <definedName name="_____D6" localSheetId="1" hidden="1">{"'표지'!$B$5"}</definedName>
    <definedName name="_____D6" localSheetId="3" hidden="1">{"'표지'!$B$5"}</definedName>
    <definedName name="_____D6" localSheetId="0" hidden="1">{"'표지'!$B$5"}</definedName>
    <definedName name="_____D6" hidden="1">{"'표지'!$B$5"}</definedName>
    <definedName name="_____h1" localSheetId="1" hidden="1">{"'표지'!$B$5"}</definedName>
    <definedName name="_____h1" localSheetId="3" hidden="1">{"'표지'!$B$5"}</definedName>
    <definedName name="_____h1" localSheetId="0" hidden="1">{"'표지'!$B$5"}</definedName>
    <definedName name="_____h1" hidden="1">{"'표지'!$B$5"}</definedName>
    <definedName name="_____h2" localSheetId="1" hidden="1">{"'표지'!$B$5"}</definedName>
    <definedName name="_____h2" localSheetId="3" hidden="1">{"'표지'!$B$5"}</definedName>
    <definedName name="_____h2" localSheetId="0" hidden="1">{"'표지'!$B$5"}</definedName>
    <definedName name="_____h2" hidden="1">{"'표지'!$B$5"}</definedName>
    <definedName name="_____h3" localSheetId="1" hidden="1">{"'표지'!$B$5"}</definedName>
    <definedName name="_____h3" localSheetId="3" hidden="1">{"'표지'!$B$5"}</definedName>
    <definedName name="_____h3" localSheetId="0" hidden="1">{"'표지'!$B$5"}</definedName>
    <definedName name="_____h3" hidden="1">{"'표지'!$B$5"}</definedName>
    <definedName name="_____h4" localSheetId="1" hidden="1">{"'표지'!$B$5"}</definedName>
    <definedName name="_____h4" localSheetId="3" hidden="1">{"'표지'!$B$5"}</definedName>
    <definedName name="_____h4" localSheetId="0" hidden="1">{"'표지'!$B$5"}</definedName>
    <definedName name="_____h4" hidden="1">{"'표지'!$B$5"}</definedName>
    <definedName name="_____h5" localSheetId="1" hidden="1">{"'표지'!$B$5"}</definedName>
    <definedName name="_____h5" localSheetId="3" hidden="1">{"'표지'!$B$5"}</definedName>
    <definedName name="_____h5" localSheetId="0" hidden="1">{"'표지'!$B$5"}</definedName>
    <definedName name="_____h5" hidden="1">{"'표지'!$B$5"}</definedName>
    <definedName name="_____htt1" localSheetId="1" hidden="1">{"'표지'!$B$5"}</definedName>
    <definedName name="_____htt1" localSheetId="3" hidden="1">{"'표지'!$B$5"}</definedName>
    <definedName name="_____htt1" localSheetId="0" hidden="1">{"'표지'!$B$5"}</definedName>
    <definedName name="_____htt1" hidden="1">{"'표지'!$B$5"}</definedName>
    <definedName name="_____k7" localSheetId="1" hidden="1">{#N/A,#N/A,FALSE,"단축1";#N/A,#N/A,FALSE,"단축2";#N/A,#N/A,FALSE,"단축3";#N/A,#N/A,FALSE,"장축";#N/A,#N/A,FALSE,"4WD"}</definedName>
    <definedName name="_____k7" localSheetId="3" hidden="1">{#N/A,#N/A,FALSE,"단축1";#N/A,#N/A,FALSE,"단축2";#N/A,#N/A,FALSE,"단축3";#N/A,#N/A,FALSE,"장축";#N/A,#N/A,FALSE,"4WD"}</definedName>
    <definedName name="_____k7" localSheetId="0" hidden="1">{#N/A,#N/A,FALSE,"단축1";#N/A,#N/A,FALSE,"단축2";#N/A,#N/A,FALSE,"단축3";#N/A,#N/A,FALSE,"장축";#N/A,#N/A,FALSE,"4WD"}</definedName>
    <definedName name="_____k7" hidden="1">{#N/A,#N/A,FALSE,"단축1";#N/A,#N/A,FALSE,"단축2";#N/A,#N/A,FALSE,"단축3";#N/A,#N/A,FALSE,"장축";#N/A,#N/A,FALSE,"4WD"}</definedName>
    <definedName name="_____k8" localSheetId="1" hidden="1">{#N/A,#N/A,FALSE,"단축1";#N/A,#N/A,FALSE,"단축2";#N/A,#N/A,FALSE,"단축3";#N/A,#N/A,FALSE,"장축";#N/A,#N/A,FALSE,"4WD"}</definedName>
    <definedName name="_____k8" localSheetId="3" hidden="1">{#N/A,#N/A,FALSE,"단축1";#N/A,#N/A,FALSE,"단축2";#N/A,#N/A,FALSE,"단축3";#N/A,#N/A,FALSE,"장축";#N/A,#N/A,FALSE,"4WD"}</definedName>
    <definedName name="_____k8" localSheetId="0" hidden="1">{#N/A,#N/A,FALSE,"단축1";#N/A,#N/A,FALSE,"단축2";#N/A,#N/A,FALSE,"단축3";#N/A,#N/A,FALSE,"장축";#N/A,#N/A,FALSE,"4WD"}</definedName>
    <definedName name="_____k8" hidden="1">{#N/A,#N/A,FALSE,"단축1";#N/A,#N/A,FALSE,"단축2";#N/A,#N/A,FALSE,"단축3";#N/A,#N/A,FALSE,"장축";#N/A,#N/A,FALSE,"4WD"}</definedName>
    <definedName name="_____k9" localSheetId="1" hidden="1">{#N/A,#N/A,FALSE,"단축1";#N/A,#N/A,FALSE,"단축2";#N/A,#N/A,FALSE,"단축3";#N/A,#N/A,FALSE,"장축";#N/A,#N/A,FALSE,"4WD"}</definedName>
    <definedName name="_____k9" localSheetId="3" hidden="1">{#N/A,#N/A,FALSE,"단축1";#N/A,#N/A,FALSE,"단축2";#N/A,#N/A,FALSE,"단축3";#N/A,#N/A,FALSE,"장축";#N/A,#N/A,FALSE,"4WD"}</definedName>
    <definedName name="_____k9" localSheetId="0" hidden="1">{#N/A,#N/A,FALSE,"단축1";#N/A,#N/A,FALSE,"단축2";#N/A,#N/A,FALSE,"단축3";#N/A,#N/A,FALSE,"장축";#N/A,#N/A,FALSE,"4WD"}</definedName>
    <definedName name="_____k9" hidden="1">{#N/A,#N/A,FALSE,"단축1";#N/A,#N/A,FALSE,"단축2";#N/A,#N/A,FALSE,"단축3";#N/A,#N/A,FALSE,"장축";#N/A,#N/A,FALSE,"4WD"}</definedName>
    <definedName name="_____LPS2" localSheetId="1" hidden="1">{#N/A,#N/A,FALSE,"단축1";#N/A,#N/A,FALSE,"단축2";#N/A,#N/A,FALSE,"단축3";#N/A,#N/A,FALSE,"장축";#N/A,#N/A,FALSE,"4WD"}</definedName>
    <definedName name="_____LPS2" localSheetId="3" hidden="1">{#N/A,#N/A,FALSE,"단축1";#N/A,#N/A,FALSE,"단축2";#N/A,#N/A,FALSE,"단축3";#N/A,#N/A,FALSE,"장축";#N/A,#N/A,FALSE,"4WD"}</definedName>
    <definedName name="_____LPS2" localSheetId="0" hidden="1">{#N/A,#N/A,FALSE,"단축1";#N/A,#N/A,FALSE,"단축2";#N/A,#N/A,FALSE,"단축3";#N/A,#N/A,FALSE,"장축";#N/A,#N/A,FALSE,"4WD"}</definedName>
    <definedName name="_____LPS2" hidden="1">{#N/A,#N/A,FALSE,"단축1";#N/A,#N/A,FALSE,"단축2";#N/A,#N/A,FALSE,"단축3";#N/A,#N/A,FALSE,"장축";#N/A,#N/A,FALSE,"4WD"}</definedName>
    <definedName name="_____P2" localSheetId="1" hidden="1">{#N/A,#N/A,FALSE,"단축1";#N/A,#N/A,FALSE,"단축2";#N/A,#N/A,FALSE,"단축3";#N/A,#N/A,FALSE,"장축";#N/A,#N/A,FALSE,"4WD"}</definedName>
    <definedName name="_____P2" localSheetId="3" hidden="1">{#N/A,#N/A,FALSE,"단축1";#N/A,#N/A,FALSE,"단축2";#N/A,#N/A,FALSE,"단축3";#N/A,#N/A,FALSE,"장축";#N/A,#N/A,FALSE,"4WD"}</definedName>
    <definedName name="_____P2" localSheetId="0" hidden="1">{#N/A,#N/A,FALSE,"단축1";#N/A,#N/A,FALSE,"단축2";#N/A,#N/A,FALSE,"단축3";#N/A,#N/A,FALSE,"장축";#N/A,#N/A,FALSE,"4WD"}</definedName>
    <definedName name="_____P2" hidden="1">{#N/A,#N/A,FALSE,"단축1";#N/A,#N/A,FALSE,"단축2";#N/A,#N/A,FALSE,"단축3";#N/A,#N/A,FALSE,"장축";#N/A,#N/A,FALSE,"4WD"}</definedName>
    <definedName name="_____PB004" localSheetId="1" hidden="1">{#N/A,#N/A,FALSE,"단축1";#N/A,#N/A,FALSE,"단축2";#N/A,#N/A,FALSE,"단축3";#N/A,#N/A,FALSE,"장축";#N/A,#N/A,FALSE,"4WD"}</definedName>
    <definedName name="_____PB004" localSheetId="3" hidden="1">{#N/A,#N/A,FALSE,"단축1";#N/A,#N/A,FALSE,"단축2";#N/A,#N/A,FALSE,"단축3";#N/A,#N/A,FALSE,"장축";#N/A,#N/A,FALSE,"4WD"}</definedName>
    <definedName name="_____PB004" localSheetId="0" hidden="1">{#N/A,#N/A,FALSE,"단축1";#N/A,#N/A,FALSE,"단축2";#N/A,#N/A,FALSE,"단축3";#N/A,#N/A,FALSE,"장축";#N/A,#N/A,FALSE,"4WD"}</definedName>
    <definedName name="_____PB004" hidden="1">{#N/A,#N/A,FALSE,"단축1";#N/A,#N/A,FALSE,"단축2";#N/A,#N/A,FALSE,"단축3";#N/A,#N/A,FALSE,"장축";#N/A,#N/A,FALSE,"4WD"}</definedName>
    <definedName name="_____ppr1" localSheetId="1" hidden="1">{#N/A,#N/A,FALSE,"단축1";#N/A,#N/A,FALSE,"단축2";#N/A,#N/A,FALSE,"단축3";#N/A,#N/A,FALSE,"장축";#N/A,#N/A,FALSE,"4WD"}</definedName>
    <definedName name="_____ppr1" localSheetId="3" hidden="1">{#N/A,#N/A,FALSE,"단축1";#N/A,#N/A,FALSE,"단축2";#N/A,#N/A,FALSE,"단축3";#N/A,#N/A,FALSE,"장축";#N/A,#N/A,FALSE,"4WD"}</definedName>
    <definedName name="_____ppr1" localSheetId="0" hidden="1">{#N/A,#N/A,FALSE,"단축1";#N/A,#N/A,FALSE,"단축2";#N/A,#N/A,FALSE,"단축3";#N/A,#N/A,FALSE,"장축";#N/A,#N/A,FALSE,"4WD"}</definedName>
    <definedName name="_____ppr1" hidden="1">{#N/A,#N/A,FALSE,"단축1";#N/A,#N/A,FALSE,"단축2";#N/A,#N/A,FALSE,"단축3";#N/A,#N/A,FALSE,"장축";#N/A,#N/A,FALSE,"4WD"}</definedName>
    <definedName name="_____ppr2" localSheetId="1" hidden="1">{#N/A,#N/A,FALSE,"단축1";#N/A,#N/A,FALSE,"단축2";#N/A,#N/A,FALSE,"단축3";#N/A,#N/A,FALSE,"장축";#N/A,#N/A,FALSE,"4WD"}</definedName>
    <definedName name="_____ppr2" localSheetId="3" hidden="1">{#N/A,#N/A,FALSE,"단축1";#N/A,#N/A,FALSE,"단축2";#N/A,#N/A,FALSE,"단축3";#N/A,#N/A,FALSE,"장축";#N/A,#N/A,FALSE,"4WD"}</definedName>
    <definedName name="_____ppr2" localSheetId="0" hidden="1">{#N/A,#N/A,FALSE,"단축1";#N/A,#N/A,FALSE,"단축2";#N/A,#N/A,FALSE,"단축3";#N/A,#N/A,FALSE,"장축";#N/A,#N/A,FALSE,"4WD"}</definedName>
    <definedName name="_____ppr2" hidden="1">{#N/A,#N/A,FALSE,"단축1";#N/A,#N/A,FALSE,"단축2";#N/A,#N/A,FALSE,"단축3";#N/A,#N/A,FALSE,"장축";#N/A,#N/A,FALSE,"4WD"}</definedName>
    <definedName name="_____Q1" localSheetId="1" hidden="1">{#N/A,#N/A,FALSE,"단축1";#N/A,#N/A,FALSE,"단축2";#N/A,#N/A,FALSE,"단축3";#N/A,#N/A,FALSE,"장축";#N/A,#N/A,FALSE,"4WD"}</definedName>
    <definedName name="_____Q1" localSheetId="3" hidden="1">{#N/A,#N/A,FALSE,"단축1";#N/A,#N/A,FALSE,"단축2";#N/A,#N/A,FALSE,"단축3";#N/A,#N/A,FALSE,"장축";#N/A,#N/A,FALSE,"4WD"}</definedName>
    <definedName name="_____Q1" localSheetId="0" hidden="1">{#N/A,#N/A,FALSE,"단축1";#N/A,#N/A,FALSE,"단축2";#N/A,#N/A,FALSE,"단축3";#N/A,#N/A,FALSE,"장축";#N/A,#N/A,FALSE,"4WD"}</definedName>
    <definedName name="_____Q1" hidden="1">{#N/A,#N/A,FALSE,"단축1";#N/A,#N/A,FALSE,"단축2";#N/A,#N/A,FALSE,"단축3";#N/A,#N/A,FALSE,"장축";#N/A,#N/A,FALSE,"4WD"}</definedName>
    <definedName name="_____T2" localSheetId="1" hidden="1">{#N/A,#N/A,FALSE,"단축1";#N/A,#N/A,FALSE,"단축2";#N/A,#N/A,FALSE,"단축3";#N/A,#N/A,FALSE,"장축";#N/A,#N/A,FALSE,"4WD"}</definedName>
    <definedName name="_____T2" localSheetId="3" hidden="1">{#N/A,#N/A,FALSE,"단축1";#N/A,#N/A,FALSE,"단축2";#N/A,#N/A,FALSE,"단축3";#N/A,#N/A,FALSE,"장축";#N/A,#N/A,FALSE,"4WD"}</definedName>
    <definedName name="_____T2" localSheetId="0" hidden="1">{#N/A,#N/A,FALSE,"단축1";#N/A,#N/A,FALSE,"단축2";#N/A,#N/A,FALSE,"단축3";#N/A,#N/A,FALSE,"장축";#N/A,#N/A,FALSE,"4WD"}</definedName>
    <definedName name="_____T2" hidden="1">{#N/A,#N/A,FALSE,"단축1";#N/A,#N/A,FALSE,"단축2";#N/A,#N/A,FALSE,"단축3";#N/A,#N/A,FALSE,"장축";#N/A,#N/A,FALSE,"4WD"}</definedName>
    <definedName name="_____T3" localSheetId="1" hidden="1">{#N/A,#N/A,FALSE,"단축1";#N/A,#N/A,FALSE,"단축2";#N/A,#N/A,FALSE,"단축3";#N/A,#N/A,FALSE,"장축";#N/A,#N/A,FALSE,"4WD"}</definedName>
    <definedName name="_____T3" localSheetId="3" hidden="1">{#N/A,#N/A,FALSE,"단축1";#N/A,#N/A,FALSE,"단축2";#N/A,#N/A,FALSE,"단축3";#N/A,#N/A,FALSE,"장축";#N/A,#N/A,FALSE,"4WD"}</definedName>
    <definedName name="_____T3" localSheetId="0" hidden="1">{#N/A,#N/A,FALSE,"단축1";#N/A,#N/A,FALSE,"단축2";#N/A,#N/A,FALSE,"단축3";#N/A,#N/A,FALSE,"장축";#N/A,#N/A,FALSE,"4WD"}</definedName>
    <definedName name="_____T3" hidden="1">{#N/A,#N/A,FALSE,"단축1";#N/A,#N/A,FALSE,"단축2";#N/A,#N/A,FALSE,"단축3";#N/A,#N/A,FALSE,"장축";#N/A,#N/A,FALSE,"4WD"}</definedName>
    <definedName name="_____T5" localSheetId="1" hidden="1">{#N/A,#N/A,FALSE,"단축1";#N/A,#N/A,FALSE,"단축2";#N/A,#N/A,FALSE,"단축3";#N/A,#N/A,FALSE,"장축";#N/A,#N/A,FALSE,"4WD"}</definedName>
    <definedName name="_____T5" localSheetId="3" hidden="1">{#N/A,#N/A,FALSE,"단축1";#N/A,#N/A,FALSE,"단축2";#N/A,#N/A,FALSE,"단축3";#N/A,#N/A,FALSE,"장축";#N/A,#N/A,FALSE,"4WD"}</definedName>
    <definedName name="_____T5" localSheetId="0" hidden="1">{#N/A,#N/A,FALSE,"단축1";#N/A,#N/A,FALSE,"단축2";#N/A,#N/A,FALSE,"단축3";#N/A,#N/A,FALSE,"장축";#N/A,#N/A,FALSE,"4WD"}</definedName>
    <definedName name="_____T5" hidden="1">{#N/A,#N/A,FALSE,"단축1";#N/A,#N/A,FALSE,"단축2";#N/A,#N/A,FALSE,"단축3";#N/A,#N/A,FALSE,"장축";#N/A,#N/A,FALSE,"4WD"}</definedName>
    <definedName name="_____tc1" localSheetId="1" hidden="1">{#N/A,#N/A,FALSE,"단축1";#N/A,#N/A,FALSE,"단축2";#N/A,#N/A,FALSE,"단축3";#N/A,#N/A,FALSE,"장축";#N/A,#N/A,FALSE,"4WD"}</definedName>
    <definedName name="_____tc1" localSheetId="3" hidden="1">{#N/A,#N/A,FALSE,"단축1";#N/A,#N/A,FALSE,"단축2";#N/A,#N/A,FALSE,"단축3";#N/A,#N/A,FALSE,"장축";#N/A,#N/A,FALSE,"4WD"}</definedName>
    <definedName name="_____tc1" localSheetId="0" hidden="1">{#N/A,#N/A,FALSE,"단축1";#N/A,#N/A,FALSE,"단축2";#N/A,#N/A,FALSE,"단축3";#N/A,#N/A,FALSE,"장축";#N/A,#N/A,FALSE,"4WD"}</definedName>
    <definedName name="_____tc1" hidden="1">{#N/A,#N/A,FALSE,"단축1";#N/A,#N/A,FALSE,"단축2";#N/A,#N/A,FALSE,"단축3";#N/A,#N/A,FALSE,"장축";#N/A,#N/A,FALSE,"4WD"}</definedName>
    <definedName name="_____tc2" localSheetId="1" hidden="1">{#N/A,#N/A,FALSE,"단축1";#N/A,#N/A,FALSE,"단축2";#N/A,#N/A,FALSE,"단축3";#N/A,#N/A,FALSE,"장축";#N/A,#N/A,FALSE,"4WD"}</definedName>
    <definedName name="_____tc2" localSheetId="3" hidden="1">{#N/A,#N/A,FALSE,"단축1";#N/A,#N/A,FALSE,"단축2";#N/A,#N/A,FALSE,"단축3";#N/A,#N/A,FALSE,"장축";#N/A,#N/A,FALSE,"4WD"}</definedName>
    <definedName name="_____tc2" localSheetId="0" hidden="1">{#N/A,#N/A,FALSE,"단축1";#N/A,#N/A,FALSE,"단축2";#N/A,#N/A,FALSE,"단축3";#N/A,#N/A,FALSE,"장축";#N/A,#N/A,FALSE,"4WD"}</definedName>
    <definedName name="_____tc2" hidden="1">{#N/A,#N/A,FALSE,"단축1";#N/A,#N/A,FALSE,"단축2";#N/A,#N/A,FALSE,"단축3";#N/A,#N/A,FALSE,"장축";#N/A,#N/A,FALSE,"4WD"}</definedName>
    <definedName name="_____tc3" localSheetId="1" hidden="1">{#N/A,#N/A,FALSE,"단축1";#N/A,#N/A,FALSE,"단축2";#N/A,#N/A,FALSE,"단축3";#N/A,#N/A,FALSE,"장축";#N/A,#N/A,FALSE,"4WD"}</definedName>
    <definedName name="_____tc3" localSheetId="3" hidden="1">{#N/A,#N/A,FALSE,"단축1";#N/A,#N/A,FALSE,"단축2";#N/A,#N/A,FALSE,"단축3";#N/A,#N/A,FALSE,"장축";#N/A,#N/A,FALSE,"4WD"}</definedName>
    <definedName name="_____tc3" localSheetId="0" hidden="1">{#N/A,#N/A,FALSE,"단축1";#N/A,#N/A,FALSE,"단축2";#N/A,#N/A,FALSE,"단축3";#N/A,#N/A,FALSE,"장축";#N/A,#N/A,FALSE,"4WD"}</definedName>
    <definedName name="_____tc3" hidden="1">{#N/A,#N/A,FALSE,"단축1";#N/A,#N/A,FALSE,"단축2";#N/A,#N/A,FALSE,"단축3";#N/A,#N/A,FALSE,"장축";#N/A,#N/A,FALSE,"4WD"}</definedName>
    <definedName name="____htt1" localSheetId="1" hidden="1">{"'표지'!$B$5"}</definedName>
    <definedName name="____htt1" localSheetId="3" hidden="1">{"'표지'!$B$5"}</definedName>
    <definedName name="____htt1" hidden="1">{"'표지'!$B$5"}</definedName>
    <definedName name="____LPS2" localSheetId="1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B004" localSheetId="1" hidden="1">{#N/A,#N/A,FALSE,"단축1";#N/A,#N/A,FALSE,"단축2";#N/A,#N/A,FALSE,"단축3";#N/A,#N/A,FALSE,"장축";#N/A,#N/A,FALSE,"4WD"}</definedName>
    <definedName name="____PB004" localSheetId="3" hidden="1">{#N/A,#N/A,FALSE,"단축1";#N/A,#N/A,FALSE,"단축2";#N/A,#N/A,FALSE,"단축3";#N/A,#N/A,FALSE,"장축";#N/A,#N/A,FALSE,"4WD"}</definedName>
    <definedName name="____PB004" hidden="1">{#N/A,#N/A,FALSE,"단축1";#N/A,#N/A,FALSE,"단축2";#N/A,#N/A,FALSE,"단축3";#N/A,#N/A,FALSE,"장축";#N/A,#N/A,FALSE,"4WD"}</definedName>
    <definedName name="____ppr1" localSheetId="1" hidden="1">{#N/A,#N/A,FALSE,"단축1";#N/A,#N/A,FALSE,"단축2";#N/A,#N/A,FALSE,"단축3";#N/A,#N/A,FALSE,"장축";#N/A,#N/A,FALSE,"4WD"}</definedName>
    <definedName name="____ppr1" localSheetId="3" hidden="1">{#N/A,#N/A,FALSE,"단축1";#N/A,#N/A,FALSE,"단축2";#N/A,#N/A,FALSE,"단축3";#N/A,#N/A,FALSE,"장축";#N/A,#N/A,FALSE,"4WD"}</definedName>
    <definedName name="____ppr1" hidden="1">{#N/A,#N/A,FALSE,"단축1";#N/A,#N/A,FALSE,"단축2";#N/A,#N/A,FALSE,"단축3";#N/A,#N/A,FALSE,"장축";#N/A,#N/A,FALSE,"4WD"}</definedName>
    <definedName name="____ppr2" localSheetId="1" hidden="1">{#N/A,#N/A,FALSE,"단축1";#N/A,#N/A,FALSE,"단축2";#N/A,#N/A,FALSE,"단축3";#N/A,#N/A,FALSE,"장축";#N/A,#N/A,FALSE,"4WD"}</definedName>
    <definedName name="____ppr2" localSheetId="3" hidden="1">{#N/A,#N/A,FALSE,"단축1";#N/A,#N/A,FALSE,"단축2";#N/A,#N/A,FALSE,"단축3";#N/A,#N/A,FALSE,"장축";#N/A,#N/A,FALSE,"4WD"}</definedName>
    <definedName name="____ppr2" hidden="1">{#N/A,#N/A,FALSE,"단축1";#N/A,#N/A,FALSE,"단축2";#N/A,#N/A,FALSE,"단축3";#N/A,#N/A,FALSE,"장축";#N/A,#N/A,FALSE,"4WD"}</definedName>
    <definedName name="____SDW1" localSheetId="1" hidden="1">'[1]#REF'!#REF!</definedName>
    <definedName name="____SDW1" hidden="1">'[1]#REF'!#REF!</definedName>
    <definedName name="____tc1" localSheetId="1" hidden="1">{#N/A,#N/A,FALSE,"단축1";#N/A,#N/A,FALSE,"단축2";#N/A,#N/A,FALSE,"단축3";#N/A,#N/A,FALSE,"장축";#N/A,#N/A,FALSE,"4WD"}</definedName>
    <definedName name="____tc1" localSheetId="3" hidden="1">{#N/A,#N/A,FALSE,"단축1";#N/A,#N/A,FALSE,"단축2";#N/A,#N/A,FALSE,"단축3";#N/A,#N/A,FALSE,"장축";#N/A,#N/A,FALSE,"4WD"}</definedName>
    <definedName name="____tc1" hidden="1">{#N/A,#N/A,FALSE,"단축1";#N/A,#N/A,FALSE,"단축2";#N/A,#N/A,FALSE,"단축3";#N/A,#N/A,FALSE,"장축";#N/A,#N/A,FALSE,"4WD"}</definedName>
    <definedName name="____tc2" localSheetId="1" hidden="1">{#N/A,#N/A,FALSE,"단축1";#N/A,#N/A,FALSE,"단축2";#N/A,#N/A,FALSE,"단축3";#N/A,#N/A,FALSE,"장축";#N/A,#N/A,FALSE,"4WD"}</definedName>
    <definedName name="____tc2" localSheetId="3" hidden="1">{#N/A,#N/A,FALSE,"단축1";#N/A,#N/A,FALSE,"단축2";#N/A,#N/A,FALSE,"단축3";#N/A,#N/A,FALSE,"장축";#N/A,#N/A,FALSE,"4WD"}</definedName>
    <definedName name="____tc2" hidden="1">{#N/A,#N/A,FALSE,"단축1";#N/A,#N/A,FALSE,"단축2";#N/A,#N/A,FALSE,"단축3";#N/A,#N/A,FALSE,"장축";#N/A,#N/A,FALSE,"4WD"}</definedName>
    <definedName name="____tc3" localSheetId="1" hidden="1">{#N/A,#N/A,FALSE,"단축1";#N/A,#N/A,FALSE,"단축2";#N/A,#N/A,FALSE,"단축3";#N/A,#N/A,FALSE,"장축";#N/A,#N/A,FALSE,"4WD"}</definedName>
    <definedName name="____tc3" localSheetId="3" hidden="1">{#N/A,#N/A,FALSE,"단축1";#N/A,#N/A,FALSE,"단축2";#N/A,#N/A,FALSE,"단축3";#N/A,#N/A,FALSE,"장축";#N/A,#N/A,FALSE,"4WD"}</definedName>
    <definedName name="____tc3" hidden="1">{#N/A,#N/A,FALSE,"단축1";#N/A,#N/A,FALSE,"단축2";#N/A,#N/A,FALSE,"단축3";#N/A,#N/A,FALSE,"장축";#N/A,#N/A,FALSE,"4WD"}</definedName>
    <definedName name="___A2040" localSheetId="1" hidden="1">{#N/A,#N/A,FALSE,"단축1";#N/A,#N/A,FALSE,"단축2";#N/A,#N/A,FALSE,"단축3";#N/A,#N/A,FALSE,"장축";#N/A,#N/A,FALSE,"4WD"}</definedName>
    <definedName name="___A2040" localSheetId="3" hidden="1">{#N/A,#N/A,FALSE,"단축1";#N/A,#N/A,FALSE,"단축2";#N/A,#N/A,FALSE,"단축3";#N/A,#N/A,FALSE,"장축";#N/A,#N/A,FALSE,"4WD"}</definedName>
    <definedName name="___A2040" localSheetId="0" hidden="1">{#N/A,#N/A,FALSE,"단축1";#N/A,#N/A,FALSE,"단축2";#N/A,#N/A,FALSE,"단축3";#N/A,#N/A,FALSE,"장축";#N/A,#N/A,FALSE,"4WD"}</definedName>
    <definedName name="___A2040" hidden="1">{#N/A,#N/A,FALSE,"단축1";#N/A,#N/A,FALSE,"단축2";#N/A,#N/A,FALSE,"단축3";#N/A,#N/A,FALSE,"장축";#N/A,#N/A,FALSE,"4WD"}</definedName>
    <definedName name="___D6" localSheetId="1" hidden="1">{"'표지'!$B$5"}</definedName>
    <definedName name="___D6" localSheetId="3" hidden="1">{"'표지'!$B$5"}</definedName>
    <definedName name="___D6" localSheetId="0" hidden="1">{"'표지'!$B$5"}</definedName>
    <definedName name="___D6" hidden="1">{"'표지'!$B$5"}</definedName>
    <definedName name="___h1" localSheetId="1" hidden="1">{"'표지'!$B$5"}</definedName>
    <definedName name="___h1" localSheetId="3" hidden="1">{"'표지'!$B$5"}</definedName>
    <definedName name="___h1" localSheetId="0" hidden="1">{"'표지'!$B$5"}</definedName>
    <definedName name="___h1" hidden="1">{"'표지'!$B$5"}</definedName>
    <definedName name="___h2" localSheetId="1" hidden="1">{"'표지'!$B$5"}</definedName>
    <definedName name="___h2" localSheetId="3" hidden="1">{"'표지'!$B$5"}</definedName>
    <definedName name="___h2" localSheetId="0" hidden="1">{"'표지'!$B$5"}</definedName>
    <definedName name="___h2" hidden="1">{"'표지'!$B$5"}</definedName>
    <definedName name="___h3" localSheetId="1" hidden="1">{"'표지'!$B$5"}</definedName>
    <definedName name="___h3" localSheetId="3" hidden="1">{"'표지'!$B$5"}</definedName>
    <definedName name="___h3" localSheetId="0" hidden="1">{"'표지'!$B$5"}</definedName>
    <definedName name="___h3" hidden="1">{"'표지'!$B$5"}</definedName>
    <definedName name="___h4" localSheetId="1" hidden="1">{"'표지'!$B$5"}</definedName>
    <definedName name="___h4" localSheetId="3" hidden="1">{"'표지'!$B$5"}</definedName>
    <definedName name="___h4" localSheetId="0" hidden="1">{"'표지'!$B$5"}</definedName>
    <definedName name="___h4" hidden="1">{"'표지'!$B$5"}</definedName>
    <definedName name="___h5" localSheetId="1" hidden="1">{"'표지'!$B$5"}</definedName>
    <definedName name="___h5" localSheetId="3" hidden="1">{"'표지'!$B$5"}</definedName>
    <definedName name="___h5" localSheetId="0" hidden="1">{"'표지'!$B$5"}</definedName>
    <definedName name="___h5" hidden="1">{"'표지'!$B$5"}</definedName>
    <definedName name="___htt1" localSheetId="1" hidden="1">{"'표지'!$B$5"}</definedName>
    <definedName name="___htt1" localSheetId="3" hidden="1">{"'표지'!$B$5"}</definedName>
    <definedName name="___htt1" localSheetId="0" hidden="1">{"'표지'!$B$5"}</definedName>
    <definedName name="___htt1" hidden="1">{"'표지'!$B$5"}</definedName>
    <definedName name="___k7" localSheetId="1" hidden="1">{#N/A,#N/A,FALSE,"단축1";#N/A,#N/A,FALSE,"단축2";#N/A,#N/A,FALSE,"단축3";#N/A,#N/A,FALSE,"장축";#N/A,#N/A,FALSE,"4WD"}</definedName>
    <definedName name="___k7" localSheetId="3" hidden="1">{#N/A,#N/A,FALSE,"단축1";#N/A,#N/A,FALSE,"단축2";#N/A,#N/A,FALSE,"단축3";#N/A,#N/A,FALSE,"장축";#N/A,#N/A,FALSE,"4WD"}</definedName>
    <definedName name="___k7" localSheetId="0" hidden="1">{#N/A,#N/A,FALSE,"단축1";#N/A,#N/A,FALSE,"단축2";#N/A,#N/A,FALSE,"단축3";#N/A,#N/A,FALSE,"장축";#N/A,#N/A,FALSE,"4WD"}</definedName>
    <definedName name="___k7" hidden="1">{#N/A,#N/A,FALSE,"단축1";#N/A,#N/A,FALSE,"단축2";#N/A,#N/A,FALSE,"단축3";#N/A,#N/A,FALSE,"장축";#N/A,#N/A,FALSE,"4WD"}</definedName>
    <definedName name="___k8" localSheetId="1" hidden="1">{#N/A,#N/A,FALSE,"단축1";#N/A,#N/A,FALSE,"단축2";#N/A,#N/A,FALSE,"단축3";#N/A,#N/A,FALSE,"장축";#N/A,#N/A,FALSE,"4WD"}</definedName>
    <definedName name="___k8" localSheetId="3" hidden="1">{#N/A,#N/A,FALSE,"단축1";#N/A,#N/A,FALSE,"단축2";#N/A,#N/A,FALSE,"단축3";#N/A,#N/A,FALSE,"장축";#N/A,#N/A,FALSE,"4WD"}</definedName>
    <definedName name="___k8" localSheetId="0" hidden="1">{#N/A,#N/A,FALSE,"단축1";#N/A,#N/A,FALSE,"단축2";#N/A,#N/A,FALSE,"단축3";#N/A,#N/A,FALSE,"장축";#N/A,#N/A,FALSE,"4WD"}</definedName>
    <definedName name="___k8" hidden="1">{#N/A,#N/A,FALSE,"단축1";#N/A,#N/A,FALSE,"단축2";#N/A,#N/A,FALSE,"단축3";#N/A,#N/A,FALSE,"장축";#N/A,#N/A,FALSE,"4WD"}</definedName>
    <definedName name="___k9" localSheetId="1" hidden="1">{#N/A,#N/A,FALSE,"단축1";#N/A,#N/A,FALSE,"단축2";#N/A,#N/A,FALSE,"단축3";#N/A,#N/A,FALSE,"장축";#N/A,#N/A,FALSE,"4WD"}</definedName>
    <definedName name="___k9" localSheetId="3" hidden="1">{#N/A,#N/A,FALSE,"단축1";#N/A,#N/A,FALSE,"단축2";#N/A,#N/A,FALSE,"단축3";#N/A,#N/A,FALSE,"장축";#N/A,#N/A,FALSE,"4WD"}</definedName>
    <definedName name="___k9" localSheetId="0" hidden="1">{#N/A,#N/A,FALSE,"단축1";#N/A,#N/A,FALSE,"단축2";#N/A,#N/A,FALSE,"단축3";#N/A,#N/A,FALSE,"장축";#N/A,#N/A,FALSE,"4WD"}</definedName>
    <definedName name="___k9" hidden="1">{#N/A,#N/A,FALSE,"단축1";#N/A,#N/A,FALSE,"단축2";#N/A,#N/A,FALSE,"단축3";#N/A,#N/A,FALSE,"장축";#N/A,#N/A,FALSE,"4WD"}</definedName>
    <definedName name="___LPS2" localSheetId="1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localSheetId="0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P2" localSheetId="1" hidden="1">{#N/A,#N/A,FALSE,"단축1";#N/A,#N/A,FALSE,"단축2";#N/A,#N/A,FALSE,"단축3";#N/A,#N/A,FALSE,"장축";#N/A,#N/A,FALSE,"4WD"}</definedName>
    <definedName name="___P2" localSheetId="3" hidden="1">{#N/A,#N/A,FALSE,"단축1";#N/A,#N/A,FALSE,"단축2";#N/A,#N/A,FALSE,"단축3";#N/A,#N/A,FALSE,"장축";#N/A,#N/A,FALSE,"4WD"}</definedName>
    <definedName name="___P2" localSheetId="0" hidden="1">{#N/A,#N/A,FALSE,"단축1";#N/A,#N/A,FALSE,"단축2";#N/A,#N/A,FALSE,"단축3";#N/A,#N/A,FALSE,"장축";#N/A,#N/A,FALSE,"4WD"}</definedName>
    <definedName name="___P2" hidden="1">{#N/A,#N/A,FALSE,"단축1";#N/A,#N/A,FALSE,"단축2";#N/A,#N/A,FALSE,"단축3";#N/A,#N/A,FALSE,"장축";#N/A,#N/A,FALSE,"4WD"}</definedName>
    <definedName name="___PB004" localSheetId="1" hidden="1">{#N/A,#N/A,FALSE,"단축1";#N/A,#N/A,FALSE,"단축2";#N/A,#N/A,FALSE,"단축3";#N/A,#N/A,FALSE,"장축";#N/A,#N/A,FALSE,"4WD"}</definedName>
    <definedName name="___PB004" localSheetId="3" hidden="1">{#N/A,#N/A,FALSE,"단축1";#N/A,#N/A,FALSE,"단축2";#N/A,#N/A,FALSE,"단축3";#N/A,#N/A,FALSE,"장축";#N/A,#N/A,FALSE,"4WD"}</definedName>
    <definedName name="___PB004" localSheetId="0" hidden="1">{#N/A,#N/A,FALSE,"단축1";#N/A,#N/A,FALSE,"단축2";#N/A,#N/A,FALSE,"단축3";#N/A,#N/A,FALSE,"장축";#N/A,#N/A,FALSE,"4WD"}</definedName>
    <definedName name="___PB004" hidden="1">{#N/A,#N/A,FALSE,"단축1";#N/A,#N/A,FALSE,"단축2";#N/A,#N/A,FALSE,"단축3";#N/A,#N/A,FALSE,"장축";#N/A,#N/A,FALSE,"4WD"}</definedName>
    <definedName name="___ppr1" localSheetId="1" hidden="1">{#N/A,#N/A,FALSE,"단축1";#N/A,#N/A,FALSE,"단축2";#N/A,#N/A,FALSE,"단축3";#N/A,#N/A,FALSE,"장축";#N/A,#N/A,FALSE,"4WD"}</definedName>
    <definedName name="___ppr1" localSheetId="3" hidden="1">{#N/A,#N/A,FALSE,"단축1";#N/A,#N/A,FALSE,"단축2";#N/A,#N/A,FALSE,"단축3";#N/A,#N/A,FALSE,"장축";#N/A,#N/A,FALSE,"4WD"}</definedName>
    <definedName name="___ppr1" localSheetId="0" hidden="1">{#N/A,#N/A,FALSE,"단축1";#N/A,#N/A,FALSE,"단축2";#N/A,#N/A,FALSE,"단축3";#N/A,#N/A,FALSE,"장축";#N/A,#N/A,FALSE,"4WD"}</definedName>
    <definedName name="___ppr1" hidden="1">{#N/A,#N/A,FALSE,"단축1";#N/A,#N/A,FALSE,"단축2";#N/A,#N/A,FALSE,"단축3";#N/A,#N/A,FALSE,"장축";#N/A,#N/A,FALSE,"4WD"}</definedName>
    <definedName name="___ppr2" localSheetId="1" hidden="1">{#N/A,#N/A,FALSE,"단축1";#N/A,#N/A,FALSE,"단축2";#N/A,#N/A,FALSE,"단축3";#N/A,#N/A,FALSE,"장축";#N/A,#N/A,FALSE,"4WD"}</definedName>
    <definedName name="___ppr2" localSheetId="3" hidden="1">{#N/A,#N/A,FALSE,"단축1";#N/A,#N/A,FALSE,"단축2";#N/A,#N/A,FALSE,"단축3";#N/A,#N/A,FALSE,"장축";#N/A,#N/A,FALSE,"4WD"}</definedName>
    <definedName name="___ppr2" localSheetId="0" hidden="1">{#N/A,#N/A,FALSE,"단축1";#N/A,#N/A,FALSE,"단축2";#N/A,#N/A,FALSE,"단축3";#N/A,#N/A,FALSE,"장축";#N/A,#N/A,FALSE,"4WD"}</definedName>
    <definedName name="___ppr2" hidden="1">{#N/A,#N/A,FALSE,"단축1";#N/A,#N/A,FALSE,"단축2";#N/A,#N/A,FALSE,"단축3";#N/A,#N/A,FALSE,"장축";#N/A,#N/A,FALSE,"4WD"}</definedName>
    <definedName name="___Q1" localSheetId="1" hidden="1">{#N/A,#N/A,FALSE,"단축1";#N/A,#N/A,FALSE,"단축2";#N/A,#N/A,FALSE,"단축3";#N/A,#N/A,FALSE,"장축";#N/A,#N/A,FALSE,"4WD"}</definedName>
    <definedName name="___Q1" localSheetId="3" hidden="1">{#N/A,#N/A,FALSE,"단축1";#N/A,#N/A,FALSE,"단축2";#N/A,#N/A,FALSE,"단축3";#N/A,#N/A,FALSE,"장축";#N/A,#N/A,FALSE,"4WD"}</definedName>
    <definedName name="___Q1" localSheetId="0" hidden="1">{#N/A,#N/A,FALSE,"단축1";#N/A,#N/A,FALSE,"단축2";#N/A,#N/A,FALSE,"단축3";#N/A,#N/A,FALSE,"장축";#N/A,#N/A,FALSE,"4WD"}</definedName>
    <definedName name="___Q1" hidden="1">{#N/A,#N/A,FALSE,"단축1";#N/A,#N/A,FALSE,"단축2";#N/A,#N/A,FALSE,"단축3";#N/A,#N/A,FALSE,"장축";#N/A,#N/A,FALSE,"4WD"}</definedName>
    <definedName name="___SDW1" localSheetId="1" hidden="1">'[1]#REF'!#REF!</definedName>
    <definedName name="___SDW1" hidden="1">'[1]#REF'!#REF!</definedName>
    <definedName name="___T2" localSheetId="1" hidden="1">{#N/A,#N/A,FALSE,"단축1";#N/A,#N/A,FALSE,"단축2";#N/A,#N/A,FALSE,"단축3";#N/A,#N/A,FALSE,"장축";#N/A,#N/A,FALSE,"4WD"}</definedName>
    <definedName name="___T2" localSheetId="3" hidden="1">{#N/A,#N/A,FALSE,"단축1";#N/A,#N/A,FALSE,"단축2";#N/A,#N/A,FALSE,"단축3";#N/A,#N/A,FALSE,"장축";#N/A,#N/A,FALSE,"4WD"}</definedName>
    <definedName name="___T2" localSheetId="0" hidden="1">{#N/A,#N/A,FALSE,"단축1";#N/A,#N/A,FALSE,"단축2";#N/A,#N/A,FALSE,"단축3";#N/A,#N/A,FALSE,"장축";#N/A,#N/A,FALSE,"4WD"}</definedName>
    <definedName name="___T2" hidden="1">{#N/A,#N/A,FALSE,"단축1";#N/A,#N/A,FALSE,"단축2";#N/A,#N/A,FALSE,"단축3";#N/A,#N/A,FALSE,"장축";#N/A,#N/A,FALSE,"4WD"}</definedName>
    <definedName name="___T3" localSheetId="1" hidden="1">{#N/A,#N/A,FALSE,"단축1";#N/A,#N/A,FALSE,"단축2";#N/A,#N/A,FALSE,"단축3";#N/A,#N/A,FALSE,"장축";#N/A,#N/A,FALSE,"4WD"}</definedName>
    <definedName name="___T3" localSheetId="3" hidden="1">{#N/A,#N/A,FALSE,"단축1";#N/A,#N/A,FALSE,"단축2";#N/A,#N/A,FALSE,"단축3";#N/A,#N/A,FALSE,"장축";#N/A,#N/A,FALSE,"4WD"}</definedName>
    <definedName name="___T3" localSheetId="0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localSheetId="1" hidden="1">{#N/A,#N/A,FALSE,"단축1";#N/A,#N/A,FALSE,"단축2";#N/A,#N/A,FALSE,"단축3";#N/A,#N/A,FALSE,"장축";#N/A,#N/A,FALSE,"4WD"}</definedName>
    <definedName name="___T5" localSheetId="3" hidden="1">{#N/A,#N/A,FALSE,"단축1";#N/A,#N/A,FALSE,"단축2";#N/A,#N/A,FALSE,"단축3";#N/A,#N/A,FALSE,"장축";#N/A,#N/A,FALSE,"4WD"}</definedName>
    <definedName name="___T5" localSheetId="0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c1" localSheetId="1" hidden="1">{#N/A,#N/A,FALSE,"단축1";#N/A,#N/A,FALSE,"단축2";#N/A,#N/A,FALSE,"단축3";#N/A,#N/A,FALSE,"장축";#N/A,#N/A,FALSE,"4WD"}</definedName>
    <definedName name="___tc1" localSheetId="3" hidden="1">{#N/A,#N/A,FALSE,"단축1";#N/A,#N/A,FALSE,"단축2";#N/A,#N/A,FALSE,"단축3";#N/A,#N/A,FALSE,"장축";#N/A,#N/A,FALSE,"4WD"}</definedName>
    <definedName name="___tc1" localSheetId="0" hidden="1">{#N/A,#N/A,FALSE,"단축1";#N/A,#N/A,FALSE,"단축2";#N/A,#N/A,FALSE,"단축3";#N/A,#N/A,FALSE,"장축";#N/A,#N/A,FALSE,"4WD"}</definedName>
    <definedName name="___tc1" hidden="1">{#N/A,#N/A,FALSE,"단축1";#N/A,#N/A,FALSE,"단축2";#N/A,#N/A,FALSE,"단축3";#N/A,#N/A,FALSE,"장축";#N/A,#N/A,FALSE,"4WD"}</definedName>
    <definedName name="___tc2" localSheetId="1" hidden="1">{#N/A,#N/A,FALSE,"단축1";#N/A,#N/A,FALSE,"단축2";#N/A,#N/A,FALSE,"단축3";#N/A,#N/A,FALSE,"장축";#N/A,#N/A,FALSE,"4WD"}</definedName>
    <definedName name="___tc2" localSheetId="3" hidden="1">{#N/A,#N/A,FALSE,"단축1";#N/A,#N/A,FALSE,"단축2";#N/A,#N/A,FALSE,"단축3";#N/A,#N/A,FALSE,"장축";#N/A,#N/A,FALSE,"4WD"}</definedName>
    <definedName name="___tc2" localSheetId="0" hidden="1">{#N/A,#N/A,FALSE,"단축1";#N/A,#N/A,FALSE,"단축2";#N/A,#N/A,FALSE,"단축3";#N/A,#N/A,FALSE,"장축";#N/A,#N/A,FALSE,"4WD"}</definedName>
    <definedName name="___tc2" hidden="1">{#N/A,#N/A,FALSE,"단축1";#N/A,#N/A,FALSE,"단축2";#N/A,#N/A,FALSE,"단축3";#N/A,#N/A,FALSE,"장축";#N/A,#N/A,FALSE,"4WD"}</definedName>
    <definedName name="___tc3" localSheetId="1" hidden="1">{#N/A,#N/A,FALSE,"단축1";#N/A,#N/A,FALSE,"단축2";#N/A,#N/A,FALSE,"단축3";#N/A,#N/A,FALSE,"장축";#N/A,#N/A,FALSE,"4WD"}</definedName>
    <definedName name="___tc3" localSheetId="3" hidden="1">{#N/A,#N/A,FALSE,"단축1";#N/A,#N/A,FALSE,"단축2";#N/A,#N/A,FALSE,"단축3";#N/A,#N/A,FALSE,"장축";#N/A,#N/A,FALSE,"4WD"}</definedName>
    <definedName name="___tc3" localSheetId="0" hidden="1">{#N/A,#N/A,FALSE,"단축1";#N/A,#N/A,FALSE,"단축2";#N/A,#N/A,FALSE,"단축3";#N/A,#N/A,FALSE,"장축";#N/A,#N/A,FALSE,"4WD"}</definedName>
    <definedName name="___tc3" hidden="1">{#N/A,#N/A,FALSE,"단축1";#N/A,#N/A,FALSE,"단축2";#N/A,#N/A,FALSE,"단축3";#N/A,#N/A,FALSE,"장축";#N/A,#N/A,FALSE,"4WD"}</definedName>
    <definedName name="__123Graph_D" localSheetId="1" hidden="1">'[2]F4-F7'!#REF!</definedName>
    <definedName name="__123Graph_D" hidden="1">'[2]F4-F7'!#REF!</definedName>
    <definedName name="__A2040" localSheetId="1" hidden="1">{#N/A,#N/A,FALSE,"단축1";#N/A,#N/A,FALSE,"단축2";#N/A,#N/A,FALSE,"단축3";#N/A,#N/A,FALSE,"장축";#N/A,#N/A,FALSE,"4WD"}</definedName>
    <definedName name="__A2040" localSheetId="3" hidden="1">{#N/A,#N/A,FALSE,"단축1";#N/A,#N/A,FALSE,"단축2";#N/A,#N/A,FALSE,"단축3";#N/A,#N/A,FALSE,"장축";#N/A,#N/A,FALSE,"4WD"}</definedName>
    <definedName name="__A2040" localSheetId="0" hidden="1">{#N/A,#N/A,FALSE,"단축1";#N/A,#N/A,FALSE,"단축2";#N/A,#N/A,FALSE,"단축3";#N/A,#N/A,FALSE,"장축";#N/A,#N/A,FALSE,"4WD"}</definedName>
    <definedName name="__A2040" hidden="1">{#N/A,#N/A,FALSE,"단축1";#N/A,#N/A,FALSE,"단축2";#N/A,#N/A,FALSE,"단축3";#N/A,#N/A,FALSE,"장축";#N/A,#N/A,FALSE,"4WD"}</definedName>
    <definedName name="__D6" localSheetId="1" hidden="1">{"'표지'!$B$5"}</definedName>
    <definedName name="__D6" localSheetId="3" hidden="1">{"'표지'!$B$5"}</definedName>
    <definedName name="__D6" localSheetId="0" hidden="1">{"'표지'!$B$5"}</definedName>
    <definedName name="__D6" hidden="1">{"'표지'!$B$5"}</definedName>
    <definedName name="__h1" localSheetId="1" hidden="1">{"'표지'!$B$5"}</definedName>
    <definedName name="__h1" localSheetId="3" hidden="1">{"'표지'!$B$5"}</definedName>
    <definedName name="__h1" localSheetId="0" hidden="1">{"'표지'!$B$5"}</definedName>
    <definedName name="__h1" hidden="1">{"'표지'!$B$5"}</definedName>
    <definedName name="__h2" localSheetId="1" hidden="1">{"'표지'!$B$5"}</definedName>
    <definedName name="__h2" localSheetId="3" hidden="1">{"'표지'!$B$5"}</definedName>
    <definedName name="__h2" localSheetId="0" hidden="1">{"'표지'!$B$5"}</definedName>
    <definedName name="__h2" hidden="1">{"'표지'!$B$5"}</definedName>
    <definedName name="__h3" localSheetId="1" hidden="1">{"'표지'!$B$5"}</definedName>
    <definedName name="__h3" localSheetId="3" hidden="1">{"'표지'!$B$5"}</definedName>
    <definedName name="__h3" localSheetId="0" hidden="1">{"'표지'!$B$5"}</definedName>
    <definedName name="__h3" hidden="1">{"'표지'!$B$5"}</definedName>
    <definedName name="__h4" localSheetId="1" hidden="1">{"'표지'!$B$5"}</definedName>
    <definedName name="__h4" localSheetId="3" hidden="1">{"'표지'!$B$5"}</definedName>
    <definedName name="__h4" localSheetId="0" hidden="1">{"'표지'!$B$5"}</definedName>
    <definedName name="__h4" hidden="1">{"'표지'!$B$5"}</definedName>
    <definedName name="__h5" localSheetId="1" hidden="1">{"'표지'!$B$5"}</definedName>
    <definedName name="__h5" localSheetId="3" hidden="1">{"'표지'!$B$5"}</definedName>
    <definedName name="__h5" localSheetId="0" hidden="1">{"'표지'!$B$5"}</definedName>
    <definedName name="__h5" hidden="1">{"'표지'!$B$5"}</definedName>
    <definedName name="__htt1" localSheetId="1" hidden="1">{"'표지'!$B$5"}</definedName>
    <definedName name="__htt1" localSheetId="3" hidden="1">{"'표지'!$B$5"}</definedName>
    <definedName name="__htt1" localSheetId="0" hidden="1">{"'표지'!$B$5"}</definedName>
    <definedName name="__htt1" hidden="1">{"'표지'!$B$5"}</definedName>
    <definedName name="__k7" localSheetId="1" hidden="1">{#N/A,#N/A,FALSE,"단축1";#N/A,#N/A,FALSE,"단축2";#N/A,#N/A,FALSE,"단축3";#N/A,#N/A,FALSE,"장축";#N/A,#N/A,FALSE,"4WD"}</definedName>
    <definedName name="__k7" localSheetId="3" hidden="1">{#N/A,#N/A,FALSE,"단축1";#N/A,#N/A,FALSE,"단축2";#N/A,#N/A,FALSE,"단축3";#N/A,#N/A,FALSE,"장축";#N/A,#N/A,FALSE,"4WD"}</definedName>
    <definedName name="__k7" localSheetId="0" hidden="1">{#N/A,#N/A,FALSE,"단축1";#N/A,#N/A,FALSE,"단축2";#N/A,#N/A,FALSE,"단축3";#N/A,#N/A,FALSE,"장축";#N/A,#N/A,FALSE,"4WD"}</definedName>
    <definedName name="__k7" hidden="1">{#N/A,#N/A,FALSE,"단축1";#N/A,#N/A,FALSE,"단축2";#N/A,#N/A,FALSE,"단축3";#N/A,#N/A,FALSE,"장축";#N/A,#N/A,FALSE,"4WD"}</definedName>
    <definedName name="__k8" localSheetId="1" hidden="1">{#N/A,#N/A,FALSE,"단축1";#N/A,#N/A,FALSE,"단축2";#N/A,#N/A,FALSE,"단축3";#N/A,#N/A,FALSE,"장축";#N/A,#N/A,FALSE,"4WD"}</definedName>
    <definedName name="__k8" localSheetId="3" hidden="1">{#N/A,#N/A,FALSE,"단축1";#N/A,#N/A,FALSE,"단축2";#N/A,#N/A,FALSE,"단축3";#N/A,#N/A,FALSE,"장축";#N/A,#N/A,FALSE,"4WD"}</definedName>
    <definedName name="__k8" localSheetId="0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localSheetId="1" hidden="1">{#N/A,#N/A,FALSE,"단축1";#N/A,#N/A,FALSE,"단축2";#N/A,#N/A,FALSE,"단축3";#N/A,#N/A,FALSE,"장축";#N/A,#N/A,FALSE,"4WD"}</definedName>
    <definedName name="__k9" localSheetId="3" hidden="1">{#N/A,#N/A,FALSE,"단축1";#N/A,#N/A,FALSE,"단축2";#N/A,#N/A,FALSE,"단축3";#N/A,#N/A,FALSE,"장축";#N/A,#N/A,FALSE,"4WD"}</definedName>
    <definedName name="__k9" localSheetId="0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LPS2" localSheetId="1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localSheetId="0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P2" localSheetId="1" hidden="1">{#N/A,#N/A,FALSE,"단축1";#N/A,#N/A,FALSE,"단축2";#N/A,#N/A,FALSE,"단축3";#N/A,#N/A,FALSE,"장축";#N/A,#N/A,FALSE,"4WD"}</definedName>
    <definedName name="__P2" localSheetId="3" hidden="1">{#N/A,#N/A,FALSE,"단축1";#N/A,#N/A,FALSE,"단축2";#N/A,#N/A,FALSE,"단축3";#N/A,#N/A,FALSE,"장축";#N/A,#N/A,FALSE,"4WD"}</definedName>
    <definedName name="__P2" localSheetId="0" hidden="1">{#N/A,#N/A,FALSE,"단축1";#N/A,#N/A,FALSE,"단축2";#N/A,#N/A,FALSE,"단축3";#N/A,#N/A,FALSE,"장축";#N/A,#N/A,FALSE,"4WD"}</definedName>
    <definedName name="__P2" hidden="1">{#N/A,#N/A,FALSE,"단축1";#N/A,#N/A,FALSE,"단축2";#N/A,#N/A,FALSE,"단축3";#N/A,#N/A,FALSE,"장축";#N/A,#N/A,FALSE,"4WD"}</definedName>
    <definedName name="__PB004" localSheetId="1" hidden="1">{#N/A,#N/A,FALSE,"단축1";#N/A,#N/A,FALSE,"단축2";#N/A,#N/A,FALSE,"단축3";#N/A,#N/A,FALSE,"장축";#N/A,#N/A,FALSE,"4WD"}</definedName>
    <definedName name="__PB004" localSheetId="3" hidden="1">{#N/A,#N/A,FALSE,"단축1";#N/A,#N/A,FALSE,"단축2";#N/A,#N/A,FALSE,"단축3";#N/A,#N/A,FALSE,"장축";#N/A,#N/A,FALSE,"4WD"}</definedName>
    <definedName name="__PB004" localSheetId="0" hidden="1">{#N/A,#N/A,FALSE,"단축1";#N/A,#N/A,FALSE,"단축2";#N/A,#N/A,FALSE,"단축3";#N/A,#N/A,FALSE,"장축";#N/A,#N/A,FALSE,"4WD"}</definedName>
    <definedName name="__PB004" hidden="1">{#N/A,#N/A,FALSE,"단축1";#N/A,#N/A,FALSE,"단축2";#N/A,#N/A,FALSE,"단축3";#N/A,#N/A,FALSE,"장축";#N/A,#N/A,FALSE,"4WD"}</definedName>
    <definedName name="__ppr1" localSheetId="1" hidden="1">{#N/A,#N/A,FALSE,"단축1";#N/A,#N/A,FALSE,"단축2";#N/A,#N/A,FALSE,"단축3";#N/A,#N/A,FALSE,"장축";#N/A,#N/A,FALSE,"4WD"}</definedName>
    <definedName name="__ppr1" localSheetId="3" hidden="1">{#N/A,#N/A,FALSE,"단축1";#N/A,#N/A,FALSE,"단축2";#N/A,#N/A,FALSE,"단축3";#N/A,#N/A,FALSE,"장축";#N/A,#N/A,FALSE,"4WD"}</definedName>
    <definedName name="__ppr1" localSheetId="0" hidden="1">{#N/A,#N/A,FALSE,"단축1";#N/A,#N/A,FALSE,"단축2";#N/A,#N/A,FALSE,"단축3";#N/A,#N/A,FALSE,"장축";#N/A,#N/A,FALSE,"4WD"}</definedName>
    <definedName name="__ppr1" hidden="1">{#N/A,#N/A,FALSE,"단축1";#N/A,#N/A,FALSE,"단축2";#N/A,#N/A,FALSE,"단축3";#N/A,#N/A,FALSE,"장축";#N/A,#N/A,FALSE,"4WD"}</definedName>
    <definedName name="__ppr2" localSheetId="1" hidden="1">{#N/A,#N/A,FALSE,"단축1";#N/A,#N/A,FALSE,"단축2";#N/A,#N/A,FALSE,"단축3";#N/A,#N/A,FALSE,"장축";#N/A,#N/A,FALSE,"4WD"}</definedName>
    <definedName name="__ppr2" localSheetId="3" hidden="1">{#N/A,#N/A,FALSE,"단축1";#N/A,#N/A,FALSE,"단축2";#N/A,#N/A,FALSE,"단축3";#N/A,#N/A,FALSE,"장축";#N/A,#N/A,FALSE,"4WD"}</definedName>
    <definedName name="__ppr2" localSheetId="0" hidden="1">{#N/A,#N/A,FALSE,"단축1";#N/A,#N/A,FALSE,"단축2";#N/A,#N/A,FALSE,"단축3";#N/A,#N/A,FALSE,"장축";#N/A,#N/A,FALSE,"4WD"}</definedName>
    <definedName name="__ppr2" hidden="1">{#N/A,#N/A,FALSE,"단축1";#N/A,#N/A,FALSE,"단축2";#N/A,#N/A,FALSE,"단축3";#N/A,#N/A,FALSE,"장축";#N/A,#N/A,FALSE,"4WD"}</definedName>
    <definedName name="__Q1" localSheetId="1" hidden="1">{#N/A,#N/A,FALSE,"단축1";#N/A,#N/A,FALSE,"단축2";#N/A,#N/A,FALSE,"단축3";#N/A,#N/A,FALSE,"장축";#N/A,#N/A,FALSE,"4WD"}</definedName>
    <definedName name="__Q1" localSheetId="3" hidden="1">{#N/A,#N/A,FALSE,"단축1";#N/A,#N/A,FALSE,"단축2";#N/A,#N/A,FALSE,"단축3";#N/A,#N/A,FALSE,"장축";#N/A,#N/A,FALSE,"4WD"}</definedName>
    <definedName name="__Q1" localSheetId="0" hidden="1">{#N/A,#N/A,FALSE,"단축1";#N/A,#N/A,FALSE,"단축2";#N/A,#N/A,FALSE,"단축3";#N/A,#N/A,FALSE,"장축";#N/A,#N/A,FALSE,"4WD"}</definedName>
    <definedName name="__Q1" hidden="1">{#N/A,#N/A,FALSE,"단축1";#N/A,#N/A,FALSE,"단축2";#N/A,#N/A,FALSE,"단축3";#N/A,#N/A,FALSE,"장축";#N/A,#N/A,FALSE,"4WD"}</definedName>
    <definedName name="__SDW1" localSheetId="1" hidden="1">'[1]#REF'!#REF!</definedName>
    <definedName name="__SDW1" hidden="1">'[1]#REF'!#REF!</definedName>
    <definedName name="__SW1">INDIRECT(CHOOSE(#REF!,"NEOR2","NEOPLUSI","NEOPLUSII","ERPX2","ERPXP","ICUBE"))</definedName>
    <definedName name="__T2" localSheetId="1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localSheetId="0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3" localSheetId="1" hidden="1">{#N/A,#N/A,FALSE,"단축1";#N/A,#N/A,FALSE,"단축2";#N/A,#N/A,FALSE,"단축3";#N/A,#N/A,FALSE,"장축";#N/A,#N/A,FALSE,"4WD"}</definedName>
    <definedName name="__T3" localSheetId="3" hidden="1">{#N/A,#N/A,FALSE,"단축1";#N/A,#N/A,FALSE,"단축2";#N/A,#N/A,FALSE,"단축3";#N/A,#N/A,FALSE,"장축";#N/A,#N/A,FALSE,"4WD"}</definedName>
    <definedName name="__T3" localSheetId="0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localSheetId="1" hidden="1">{#N/A,#N/A,FALSE,"단축1";#N/A,#N/A,FALSE,"단축2";#N/A,#N/A,FALSE,"단축3";#N/A,#N/A,FALSE,"장축";#N/A,#N/A,FALSE,"4WD"}</definedName>
    <definedName name="__T5" localSheetId="3" hidden="1">{#N/A,#N/A,FALSE,"단축1";#N/A,#N/A,FALSE,"단축2";#N/A,#N/A,FALSE,"단축3";#N/A,#N/A,FALSE,"장축";#N/A,#N/A,FALSE,"4WD"}</definedName>
    <definedName name="__T5" localSheetId="0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c1" localSheetId="1" hidden="1">{#N/A,#N/A,FALSE,"단축1";#N/A,#N/A,FALSE,"단축2";#N/A,#N/A,FALSE,"단축3";#N/A,#N/A,FALSE,"장축";#N/A,#N/A,FALSE,"4WD"}</definedName>
    <definedName name="__tc1" localSheetId="3" hidden="1">{#N/A,#N/A,FALSE,"단축1";#N/A,#N/A,FALSE,"단축2";#N/A,#N/A,FALSE,"단축3";#N/A,#N/A,FALSE,"장축";#N/A,#N/A,FALSE,"4WD"}</definedName>
    <definedName name="__tc1" localSheetId="0" hidden="1">{#N/A,#N/A,FALSE,"단축1";#N/A,#N/A,FALSE,"단축2";#N/A,#N/A,FALSE,"단축3";#N/A,#N/A,FALSE,"장축";#N/A,#N/A,FALSE,"4WD"}</definedName>
    <definedName name="__tc1" hidden="1">{#N/A,#N/A,FALSE,"단축1";#N/A,#N/A,FALSE,"단축2";#N/A,#N/A,FALSE,"단축3";#N/A,#N/A,FALSE,"장축";#N/A,#N/A,FALSE,"4WD"}</definedName>
    <definedName name="__tc2" localSheetId="1" hidden="1">{#N/A,#N/A,FALSE,"단축1";#N/A,#N/A,FALSE,"단축2";#N/A,#N/A,FALSE,"단축3";#N/A,#N/A,FALSE,"장축";#N/A,#N/A,FALSE,"4WD"}</definedName>
    <definedName name="__tc2" localSheetId="3" hidden="1">{#N/A,#N/A,FALSE,"단축1";#N/A,#N/A,FALSE,"단축2";#N/A,#N/A,FALSE,"단축3";#N/A,#N/A,FALSE,"장축";#N/A,#N/A,FALSE,"4WD"}</definedName>
    <definedName name="__tc2" localSheetId="0" hidden="1">{#N/A,#N/A,FALSE,"단축1";#N/A,#N/A,FALSE,"단축2";#N/A,#N/A,FALSE,"단축3";#N/A,#N/A,FALSE,"장축";#N/A,#N/A,FALSE,"4WD"}</definedName>
    <definedName name="__tc2" hidden="1">{#N/A,#N/A,FALSE,"단축1";#N/A,#N/A,FALSE,"단축2";#N/A,#N/A,FALSE,"단축3";#N/A,#N/A,FALSE,"장축";#N/A,#N/A,FALSE,"4WD"}</definedName>
    <definedName name="__tc3" localSheetId="1" hidden="1">{#N/A,#N/A,FALSE,"단축1";#N/A,#N/A,FALSE,"단축2";#N/A,#N/A,FALSE,"단축3";#N/A,#N/A,FALSE,"장축";#N/A,#N/A,FALSE,"4WD"}</definedName>
    <definedName name="__tc3" localSheetId="3" hidden="1">{#N/A,#N/A,FALSE,"단축1";#N/A,#N/A,FALSE,"단축2";#N/A,#N/A,FALSE,"단축3";#N/A,#N/A,FALSE,"장축";#N/A,#N/A,FALSE,"4WD"}</definedName>
    <definedName name="__tc3" localSheetId="0" hidden="1">{#N/A,#N/A,FALSE,"단축1";#N/A,#N/A,FALSE,"단축2";#N/A,#N/A,FALSE,"단축3";#N/A,#N/A,FALSE,"장축";#N/A,#N/A,FALSE,"4WD"}</definedName>
    <definedName name="__tc3" hidden="1">{#N/A,#N/A,FALSE,"단축1";#N/A,#N/A,FALSE,"단축2";#N/A,#N/A,FALSE,"단축3";#N/A,#N/A,FALSE,"장축";#N/A,#N/A,FALSE,"4WD"}</definedName>
    <definedName name="_27A2040_" localSheetId="1" hidden="1">{#N/A,#N/A,FALSE,"단축1";#N/A,#N/A,FALSE,"단축2";#N/A,#N/A,FALSE,"단축3";#N/A,#N/A,FALSE,"장축";#N/A,#N/A,FALSE,"4WD"}</definedName>
    <definedName name="_27A2040_" localSheetId="3" hidden="1">{#N/A,#N/A,FALSE,"단축1";#N/A,#N/A,FALSE,"단축2";#N/A,#N/A,FALSE,"단축3";#N/A,#N/A,FALSE,"장축";#N/A,#N/A,FALSE,"4WD"}</definedName>
    <definedName name="_27A2040_" hidden="1">{#N/A,#N/A,FALSE,"단축1";#N/A,#N/A,FALSE,"단축2";#N/A,#N/A,FALSE,"단축3";#N/A,#N/A,FALSE,"장축";#N/A,#N/A,FALSE,"4WD"}</definedName>
    <definedName name="_29D6_" localSheetId="1" hidden="1">{"'표지'!$B$5"}</definedName>
    <definedName name="_29D6_" localSheetId="3" hidden="1">{"'표지'!$B$5"}</definedName>
    <definedName name="_29D6_" hidden="1">{"'표지'!$B$5"}</definedName>
    <definedName name="_32h1_" localSheetId="1" hidden="1">{"'표지'!$B$5"}</definedName>
    <definedName name="_32h1_" localSheetId="3" hidden="1">{"'표지'!$B$5"}</definedName>
    <definedName name="_32h1_" hidden="1">{"'표지'!$B$5"}</definedName>
    <definedName name="_34h2_" localSheetId="1" hidden="1">{"'표지'!$B$5"}</definedName>
    <definedName name="_34h2_" localSheetId="3" hidden="1">{"'표지'!$B$5"}</definedName>
    <definedName name="_34h2_" hidden="1">{"'표지'!$B$5"}</definedName>
    <definedName name="_36h3_" localSheetId="1" hidden="1">{"'표지'!$B$5"}</definedName>
    <definedName name="_36h3_" localSheetId="3" hidden="1">{"'표지'!$B$5"}</definedName>
    <definedName name="_36h3_" hidden="1">{"'표지'!$B$5"}</definedName>
    <definedName name="_38h4_" localSheetId="1" hidden="1">{"'표지'!$B$5"}</definedName>
    <definedName name="_38h4_" localSheetId="3" hidden="1">{"'표지'!$B$5"}</definedName>
    <definedName name="_38h4_" hidden="1">{"'표지'!$B$5"}</definedName>
    <definedName name="_40h5_" localSheetId="1" hidden="1">{"'표지'!$B$5"}</definedName>
    <definedName name="_40h5_" localSheetId="3" hidden="1">{"'표지'!$B$5"}</definedName>
    <definedName name="_40h5_" hidden="1">{"'표지'!$B$5"}</definedName>
    <definedName name="_44k7_" localSheetId="1" hidden="1">{#N/A,#N/A,FALSE,"단축1";#N/A,#N/A,FALSE,"단축2";#N/A,#N/A,FALSE,"단축3";#N/A,#N/A,FALSE,"장축";#N/A,#N/A,FALSE,"4WD"}</definedName>
    <definedName name="_44k7_" localSheetId="3" hidden="1">{#N/A,#N/A,FALSE,"단축1";#N/A,#N/A,FALSE,"단축2";#N/A,#N/A,FALSE,"단축3";#N/A,#N/A,FALSE,"장축";#N/A,#N/A,FALSE,"4WD"}</definedName>
    <definedName name="_44k7_" hidden="1">{#N/A,#N/A,FALSE,"단축1";#N/A,#N/A,FALSE,"단축2";#N/A,#N/A,FALSE,"단축3";#N/A,#N/A,FALSE,"장축";#N/A,#N/A,FALSE,"4WD"}</definedName>
    <definedName name="_46A2040_" localSheetId="1" hidden="1">{#N/A,#N/A,FALSE,"단축1";#N/A,#N/A,FALSE,"단축2";#N/A,#N/A,FALSE,"단축3";#N/A,#N/A,FALSE,"장축";#N/A,#N/A,FALSE,"4WD"}</definedName>
    <definedName name="_46A2040_" localSheetId="3" hidden="1">{#N/A,#N/A,FALSE,"단축1";#N/A,#N/A,FALSE,"단축2";#N/A,#N/A,FALSE,"단축3";#N/A,#N/A,FALSE,"장축";#N/A,#N/A,FALSE,"4WD"}</definedName>
    <definedName name="_46A2040_" hidden="1">{#N/A,#N/A,FALSE,"단축1";#N/A,#N/A,FALSE,"단축2";#N/A,#N/A,FALSE,"단축3";#N/A,#N/A,FALSE,"장축";#N/A,#N/A,FALSE,"4WD"}</definedName>
    <definedName name="_46k8_" localSheetId="1" hidden="1">{#N/A,#N/A,FALSE,"단축1";#N/A,#N/A,FALSE,"단축2";#N/A,#N/A,FALSE,"단축3";#N/A,#N/A,FALSE,"장축";#N/A,#N/A,FALSE,"4WD"}</definedName>
    <definedName name="_46k8_" localSheetId="3" hidden="1">{#N/A,#N/A,FALSE,"단축1";#N/A,#N/A,FALSE,"단축2";#N/A,#N/A,FALSE,"단축3";#N/A,#N/A,FALSE,"장축";#N/A,#N/A,FALSE,"4WD"}</definedName>
    <definedName name="_46k8_" hidden="1">{#N/A,#N/A,FALSE,"단축1";#N/A,#N/A,FALSE,"단축2";#N/A,#N/A,FALSE,"단축3";#N/A,#N/A,FALSE,"장축";#N/A,#N/A,FALSE,"4WD"}</definedName>
    <definedName name="_48k9_" localSheetId="1" hidden="1">{#N/A,#N/A,FALSE,"단축1";#N/A,#N/A,FALSE,"단축2";#N/A,#N/A,FALSE,"단축3";#N/A,#N/A,FALSE,"장축";#N/A,#N/A,FALSE,"4WD"}</definedName>
    <definedName name="_48k9_" localSheetId="3" hidden="1">{#N/A,#N/A,FALSE,"단축1";#N/A,#N/A,FALSE,"단축2";#N/A,#N/A,FALSE,"단축3";#N/A,#N/A,FALSE,"장축";#N/A,#N/A,FALSE,"4WD"}</definedName>
    <definedName name="_48k9_" hidden="1">{#N/A,#N/A,FALSE,"단축1";#N/A,#N/A,FALSE,"단축2";#N/A,#N/A,FALSE,"단축3";#N/A,#N/A,FALSE,"장축";#N/A,#N/A,FALSE,"4WD"}</definedName>
    <definedName name="_49D6_" localSheetId="1" hidden="1">{"'표지'!$B$5"}</definedName>
    <definedName name="_49D6_" localSheetId="3" hidden="1">{"'표지'!$B$5"}</definedName>
    <definedName name="_49D6_" hidden="1">{"'표지'!$B$5"}</definedName>
    <definedName name="_50P2_" localSheetId="1" hidden="1">{#N/A,#N/A,FALSE,"단축1";#N/A,#N/A,FALSE,"단축2";#N/A,#N/A,FALSE,"단축3";#N/A,#N/A,FALSE,"장축";#N/A,#N/A,FALSE,"4WD"}</definedName>
    <definedName name="_50P2_" localSheetId="3" hidden="1">{#N/A,#N/A,FALSE,"단축1";#N/A,#N/A,FALSE,"단축2";#N/A,#N/A,FALSE,"단축3";#N/A,#N/A,FALSE,"장축";#N/A,#N/A,FALSE,"4WD"}</definedName>
    <definedName name="_50P2_" hidden="1">{#N/A,#N/A,FALSE,"단축1";#N/A,#N/A,FALSE,"단축2";#N/A,#N/A,FALSE,"단축3";#N/A,#N/A,FALSE,"장축";#N/A,#N/A,FALSE,"4WD"}</definedName>
    <definedName name="_52Q1_" localSheetId="1" hidden="1">{#N/A,#N/A,FALSE,"단축1";#N/A,#N/A,FALSE,"단축2";#N/A,#N/A,FALSE,"단축3";#N/A,#N/A,FALSE,"장축";#N/A,#N/A,FALSE,"4WD"}</definedName>
    <definedName name="_52Q1_" localSheetId="3" hidden="1">{#N/A,#N/A,FALSE,"단축1";#N/A,#N/A,FALSE,"단축2";#N/A,#N/A,FALSE,"단축3";#N/A,#N/A,FALSE,"장축";#N/A,#N/A,FALSE,"4WD"}</definedName>
    <definedName name="_52Q1_" hidden="1">{#N/A,#N/A,FALSE,"단축1";#N/A,#N/A,FALSE,"단축2";#N/A,#N/A,FALSE,"단축3";#N/A,#N/A,FALSE,"장축";#N/A,#N/A,FALSE,"4WD"}</definedName>
    <definedName name="_54h1_" localSheetId="1" hidden="1">{"'표지'!$B$5"}</definedName>
    <definedName name="_54h1_" localSheetId="3" hidden="1">{"'표지'!$B$5"}</definedName>
    <definedName name="_54h1_" hidden="1">{"'표지'!$B$5"}</definedName>
    <definedName name="_54T2_" localSheetId="1" hidden="1">{#N/A,#N/A,FALSE,"단축1";#N/A,#N/A,FALSE,"단축2";#N/A,#N/A,FALSE,"단축3";#N/A,#N/A,FALSE,"장축";#N/A,#N/A,FALSE,"4WD"}</definedName>
    <definedName name="_54T2_" localSheetId="3" hidden="1">{#N/A,#N/A,FALSE,"단축1";#N/A,#N/A,FALSE,"단축2";#N/A,#N/A,FALSE,"단축3";#N/A,#N/A,FALSE,"장축";#N/A,#N/A,FALSE,"4WD"}</definedName>
    <definedName name="_54T2_" hidden="1">{#N/A,#N/A,FALSE,"단축1";#N/A,#N/A,FALSE,"단축2";#N/A,#N/A,FALSE,"단축3";#N/A,#N/A,FALSE,"장축";#N/A,#N/A,FALSE,"4WD"}</definedName>
    <definedName name="_56T3_" localSheetId="1" hidden="1">{#N/A,#N/A,FALSE,"단축1";#N/A,#N/A,FALSE,"단축2";#N/A,#N/A,FALSE,"단축3";#N/A,#N/A,FALSE,"장축";#N/A,#N/A,FALSE,"4WD"}</definedName>
    <definedName name="_56T3_" localSheetId="3" hidden="1">{#N/A,#N/A,FALSE,"단축1";#N/A,#N/A,FALSE,"단축2";#N/A,#N/A,FALSE,"단축3";#N/A,#N/A,FALSE,"장축";#N/A,#N/A,FALSE,"4WD"}</definedName>
    <definedName name="_56T3_" hidden="1">{#N/A,#N/A,FALSE,"단축1";#N/A,#N/A,FALSE,"단축2";#N/A,#N/A,FALSE,"단축3";#N/A,#N/A,FALSE,"장축";#N/A,#N/A,FALSE,"4WD"}</definedName>
    <definedName name="_57h2_" localSheetId="1" hidden="1">{"'표지'!$B$5"}</definedName>
    <definedName name="_57h2_" localSheetId="3" hidden="1">{"'표지'!$B$5"}</definedName>
    <definedName name="_57h2_" hidden="1">{"'표지'!$B$5"}</definedName>
    <definedName name="_58T5_" localSheetId="1" hidden="1">{#N/A,#N/A,FALSE,"단축1";#N/A,#N/A,FALSE,"단축2";#N/A,#N/A,FALSE,"단축3";#N/A,#N/A,FALSE,"장축";#N/A,#N/A,FALSE,"4WD"}</definedName>
    <definedName name="_58T5_" localSheetId="3" hidden="1">{#N/A,#N/A,FALSE,"단축1";#N/A,#N/A,FALSE,"단축2";#N/A,#N/A,FALSE,"단축3";#N/A,#N/A,FALSE,"장축";#N/A,#N/A,FALSE,"4WD"}</definedName>
    <definedName name="_58T5_" hidden="1">{#N/A,#N/A,FALSE,"단축1";#N/A,#N/A,FALSE,"단축2";#N/A,#N/A,FALSE,"단축3";#N/A,#N/A,FALSE,"장축";#N/A,#N/A,FALSE,"4WD"}</definedName>
    <definedName name="_60__0_S" localSheetId="1" hidden="1">#REF!</definedName>
    <definedName name="_60__0_S" localSheetId="3" hidden="1">#REF!</definedName>
    <definedName name="_60__0_S" hidden="1">#REF!</definedName>
    <definedName name="_60h3_" localSheetId="1" hidden="1">{"'표지'!$B$5"}</definedName>
    <definedName name="_60h3_" localSheetId="3" hidden="1">{"'표지'!$B$5"}</definedName>
    <definedName name="_60h3_" hidden="1">{"'표지'!$B$5"}</definedName>
    <definedName name="_63h4_" localSheetId="1" hidden="1">{"'표지'!$B$5"}</definedName>
    <definedName name="_63h4_" localSheetId="3" hidden="1">{"'표지'!$B$5"}</definedName>
    <definedName name="_63h4_" hidden="1">{"'표지'!$B$5"}</definedName>
    <definedName name="_66h5_" localSheetId="1" hidden="1">{"'표지'!$B$5"}</definedName>
    <definedName name="_66h5_" localSheetId="3" hidden="1">{"'표지'!$B$5"}</definedName>
    <definedName name="_66h5_" hidden="1">{"'표지'!$B$5"}</definedName>
    <definedName name="_71k7_" localSheetId="1" hidden="1">{#N/A,#N/A,FALSE,"단축1";#N/A,#N/A,FALSE,"단축2";#N/A,#N/A,FALSE,"단축3";#N/A,#N/A,FALSE,"장축";#N/A,#N/A,FALSE,"4WD"}</definedName>
    <definedName name="_71k7_" localSheetId="3" hidden="1">{#N/A,#N/A,FALSE,"단축1";#N/A,#N/A,FALSE,"단축2";#N/A,#N/A,FALSE,"단축3";#N/A,#N/A,FALSE,"장축";#N/A,#N/A,FALSE,"4WD"}</definedName>
    <definedName name="_71k7_" hidden="1">{#N/A,#N/A,FALSE,"단축1";#N/A,#N/A,FALSE,"단축2";#N/A,#N/A,FALSE,"단축3";#N/A,#N/A,FALSE,"장축";#N/A,#N/A,FALSE,"4WD"}</definedName>
    <definedName name="_74k8_" localSheetId="1" hidden="1">{#N/A,#N/A,FALSE,"단축1";#N/A,#N/A,FALSE,"단축2";#N/A,#N/A,FALSE,"단축3";#N/A,#N/A,FALSE,"장축";#N/A,#N/A,FALSE,"4WD"}</definedName>
    <definedName name="_74k8_" localSheetId="3" hidden="1">{#N/A,#N/A,FALSE,"단축1";#N/A,#N/A,FALSE,"단축2";#N/A,#N/A,FALSE,"단축3";#N/A,#N/A,FALSE,"장축";#N/A,#N/A,FALSE,"4WD"}</definedName>
    <definedName name="_74k8_" hidden="1">{#N/A,#N/A,FALSE,"단축1";#N/A,#N/A,FALSE,"단축2";#N/A,#N/A,FALSE,"단축3";#N/A,#N/A,FALSE,"장축";#N/A,#N/A,FALSE,"4WD"}</definedName>
    <definedName name="_77k9_" localSheetId="1" hidden="1">{#N/A,#N/A,FALSE,"단축1";#N/A,#N/A,FALSE,"단축2";#N/A,#N/A,FALSE,"단축3";#N/A,#N/A,FALSE,"장축";#N/A,#N/A,FALSE,"4WD"}</definedName>
    <definedName name="_77k9_" localSheetId="3" hidden="1">{#N/A,#N/A,FALSE,"단축1";#N/A,#N/A,FALSE,"단축2";#N/A,#N/A,FALSE,"단축3";#N/A,#N/A,FALSE,"장축";#N/A,#N/A,FALSE,"4WD"}</definedName>
    <definedName name="_77k9_" hidden="1">{#N/A,#N/A,FALSE,"단축1";#N/A,#N/A,FALSE,"단축2";#N/A,#N/A,FALSE,"단축3";#N/A,#N/A,FALSE,"장축";#N/A,#N/A,FALSE,"4WD"}</definedName>
    <definedName name="_80486SX_25">[3]COST!#REF!</definedName>
    <definedName name="_80P2_" localSheetId="1" hidden="1">{#N/A,#N/A,FALSE,"단축1";#N/A,#N/A,FALSE,"단축2";#N/A,#N/A,FALSE,"단축3";#N/A,#N/A,FALSE,"장축";#N/A,#N/A,FALSE,"4WD"}</definedName>
    <definedName name="_80P2_" localSheetId="3" hidden="1">{#N/A,#N/A,FALSE,"단축1";#N/A,#N/A,FALSE,"단축2";#N/A,#N/A,FALSE,"단축3";#N/A,#N/A,FALSE,"장축";#N/A,#N/A,FALSE,"4WD"}</definedName>
    <definedName name="_80P2_" hidden="1">{#N/A,#N/A,FALSE,"단축1";#N/A,#N/A,FALSE,"단축2";#N/A,#N/A,FALSE,"단축3";#N/A,#N/A,FALSE,"장축";#N/A,#N/A,FALSE,"4WD"}</definedName>
    <definedName name="_83Q1_" localSheetId="1" hidden="1">{#N/A,#N/A,FALSE,"단축1";#N/A,#N/A,FALSE,"단축2";#N/A,#N/A,FALSE,"단축3";#N/A,#N/A,FALSE,"장축";#N/A,#N/A,FALSE,"4WD"}</definedName>
    <definedName name="_83Q1_" localSheetId="3" hidden="1">{#N/A,#N/A,FALSE,"단축1";#N/A,#N/A,FALSE,"단축2";#N/A,#N/A,FALSE,"단축3";#N/A,#N/A,FALSE,"장축";#N/A,#N/A,FALSE,"4WD"}</definedName>
    <definedName name="_83Q1_" hidden="1">{#N/A,#N/A,FALSE,"단축1";#N/A,#N/A,FALSE,"단축2";#N/A,#N/A,FALSE,"단축3";#N/A,#N/A,FALSE,"장축";#N/A,#N/A,FALSE,"4WD"}</definedName>
    <definedName name="_86T2_" localSheetId="1" hidden="1">{#N/A,#N/A,FALSE,"단축1";#N/A,#N/A,FALSE,"단축2";#N/A,#N/A,FALSE,"단축3";#N/A,#N/A,FALSE,"장축";#N/A,#N/A,FALSE,"4WD"}</definedName>
    <definedName name="_86T2_" localSheetId="3" hidden="1">{#N/A,#N/A,FALSE,"단축1";#N/A,#N/A,FALSE,"단축2";#N/A,#N/A,FALSE,"단축3";#N/A,#N/A,FALSE,"장축";#N/A,#N/A,FALSE,"4WD"}</definedName>
    <definedName name="_86T2_" hidden="1">{#N/A,#N/A,FALSE,"단축1";#N/A,#N/A,FALSE,"단축2";#N/A,#N/A,FALSE,"단축3";#N/A,#N/A,FALSE,"장축";#N/A,#N/A,FALSE,"4WD"}</definedName>
    <definedName name="_89T3_" localSheetId="1" hidden="1">{#N/A,#N/A,FALSE,"단축1";#N/A,#N/A,FALSE,"단축2";#N/A,#N/A,FALSE,"단축3";#N/A,#N/A,FALSE,"장축";#N/A,#N/A,FALSE,"4WD"}</definedName>
    <definedName name="_89T3_" localSheetId="3" hidden="1">{#N/A,#N/A,FALSE,"단축1";#N/A,#N/A,FALSE,"단축2";#N/A,#N/A,FALSE,"단축3";#N/A,#N/A,FALSE,"장축";#N/A,#N/A,FALSE,"4WD"}</definedName>
    <definedName name="_89T3_" hidden="1">{#N/A,#N/A,FALSE,"단축1";#N/A,#N/A,FALSE,"단축2";#N/A,#N/A,FALSE,"단축3";#N/A,#N/A,FALSE,"장축";#N/A,#N/A,FALSE,"4WD"}</definedName>
    <definedName name="_92T5_" localSheetId="1" hidden="1">{#N/A,#N/A,FALSE,"단축1";#N/A,#N/A,FALSE,"단축2";#N/A,#N/A,FALSE,"단축3";#N/A,#N/A,FALSE,"장축";#N/A,#N/A,FALSE,"4WD"}</definedName>
    <definedName name="_92T5_" localSheetId="3" hidden="1">{#N/A,#N/A,FALSE,"단축1";#N/A,#N/A,FALSE,"단축2";#N/A,#N/A,FALSE,"단축3";#N/A,#N/A,FALSE,"장축";#N/A,#N/A,FALSE,"4WD"}</definedName>
    <definedName name="_92T5_" hidden="1">{#N/A,#N/A,FALSE,"단축1";#N/A,#N/A,FALSE,"단축2";#N/A,#N/A,FALSE,"단축3";#N/A,#N/A,FALSE,"장축";#N/A,#N/A,FALSE,"4WD"}</definedName>
    <definedName name="_96__0_S" localSheetId="1" hidden="1">#REF!</definedName>
    <definedName name="_96__0_S" localSheetId="3" hidden="1">#REF!</definedName>
    <definedName name="_96__0_S" hidden="1">#REF!</definedName>
    <definedName name="_A2040" localSheetId="1" hidden="1">{#N/A,#N/A,FALSE,"단축1";#N/A,#N/A,FALSE,"단축2";#N/A,#N/A,FALSE,"단축3";#N/A,#N/A,FALSE,"장축";#N/A,#N/A,FALSE,"4WD"}</definedName>
    <definedName name="_A2040" localSheetId="3" hidden="1">{#N/A,#N/A,FALSE,"단축1";#N/A,#N/A,FALSE,"단축2";#N/A,#N/A,FALSE,"단축3";#N/A,#N/A,FALSE,"장축";#N/A,#N/A,FALSE,"4WD"}</definedName>
    <definedName name="_A2040" localSheetId="0" hidden="1">{#N/A,#N/A,FALSE,"단축1";#N/A,#N/A,FALSE,"단축2";#N/A,#N/A,FALSE,"단축3";#N/A,#N/A,FALSE,"장축";#N/A,#N/A,FALSE,"4WD"}</definedName>
    <definedName name="_A2040" hidden="1">{#N/A,#N/A,FALSE,"단축1";#N/A,#N/A,FALSE,"단축2";#N/A,#N/A,FALSE,"단축3";#N/A,#N/A,FALSE,"장축";#N/A,#N/A,FALSE,"4WD"}</definedName>
    <definedName name="_D6" localSheetId="1" hidden="1">{"'표지'!$B$5"}</definedName>
    <definedName name="_D6" localSheetId="3" hidden="1">{"'표지'!$B$5"}</definedName>
    <definedName name="_D6" localSheetId="0" hidden="1">{"'표지'!$B$5"}</definedName>
    <definedName name="_D6" hidden="1">{"'표지'!$B$5"}</definedName>
    <definedName name="_Dist_Bin" localSheetId="3" hidden="1">#REF!</definedName>
    <definedName name="_Dist_Bin" hidden="1">#REF!</definedName>
    <definedName name="_Fill" localSheetId="3" hidden="1">#REF!</definedName>
    <definedName name="_Fill" hidden="1">#REF!</definedName>
    <definedName name="_xlnm._FilterDatabase" localSheetId="3" hidden="1">#REF!</definedName>
    <definedName name="_xlnm._FilterDatabase" hidden="1">#REF!</definedName>
    <definedName name="_h1" localSheetId="1" hidden="1">{"'표지'!$B$5"}</definedName>
    <definedName name="_h1" localSheetId="3" hidden="1">{"'표지'!$B$5"}</definedName>
    <definedName name="_h1" localSheetId="0" hidden="1">{"'표지'!$B$5"}</definedName>
    <definedName name="_h1" hidden="1">{"'표지'!$B$5"}</definedName>
    <definedName name="_h2" localSheetId="1" hidden="1">{"'표지'!$B$5"}</definedName>
    <definedName name="_h2" localSheetId="3" hidden="1">{"'표지'!$B$5"}</definedName>
    <definedName name="_h2" localSheetId="0" hidden="1">{"'표지'!$B$5"}</definedName>
    <definedName name="_h2" hidden="1">{"'표지'!$B$5"}</definedName>
    <definedName name="_h3" localSheetId="1" hidden="1">{"'표지'!$B$5"}</definedName>
    <definedName name="_h3" localSheetId="3" hidden="1">{"'표지'!$B$5"}</definedName>
    <definedName name="_h3" localSheetId="0" hidden="1">{"'표지'!$B$5"}</definedName>
    <definedName name="_h3" hidden="1">{"'표지'!$B$5"}</definedName>
    <definedName name="_h4" localSheetId="1" hidden="1">{"'표지'!$B$5"}</definedName>
    <definedName name="_h4" localSheetId="3" hidden="1">{"'표지'!$B$5"}</definedName>
    <definedName name="_h4" localSheetId="0" hidden="1">{"'표지'!$B$5"}</definedName>
    <definedName name="_h4" hidden="1">{"'표지'!$B$5"}</definedName>
    <definedName name="_h5" localSheetId="1" hidden="1">{"'표지'!$B$5"}</definedName>
    <definedName name="_h5" localSheetId="3" hidden="1">{"'표지'!$B$5"}</definedName>
    <definedName name="_h5" localSheetId="0" hidden="1">{"'표지'!$B$5"}</definedName>
    <definedName name="_h5" hidden="1">{"'표지'!$B$5"}</definedName>
    <definedName name="_htt1" localSheetId="1" hidden="1">{"'표지'!$B$5"}</definedName>
    <definedName name="_htt1" localSheetId="3" hidden="1">{"'표지'!$B$5"}</definedName>
    <definedName name="_htt1" localSheetId="0" hidden="1">{"'표지'!$B$5"}</definedName>
    <definedName name="_htt1" hidden="1">{"'표지'!$B$5"}</definedName>
    <definedName name="_k7" localSheetId="1" hidden="1">{#N/A,#N/A,FALSE,"단축1";#N/A,#N/A,FALSE,"단축2";#N/A,#N/A,FALSE,"단축3";#N/A,#N/A,FALSE,"장축";#N/A,#N/A,FALSE,"4WD"}</definedName>
    <definedName name="_k7" localSheetId="3" hidden="1">{#N/A,#N/A,FALSE,"단축1";#N/A,#N/A,FALSE,"단축2";#N/A,#N/A,FALSE,"단축3";#N/A,#N/A,FALSE,"장축";#N/A,#N/A,FALSE,"4WD"}</definedName>
    <definedName name="_k7" localSheetId="0" hidden="1">{#N/A,#N/A,FALSE,"단축1";#N/A,#N/A,FALSE,"단축2";#N/A,#N/A,FALSE,"단축3";#N/A,#N/A,FALSE,"장축";#N/A,#N/A,FALSE,"4WD"}</definedName>
    <definedName name="_k7" hidden="1">{#N/A,#N/A,FALSE,"단축1";#N/A,#N/A,FALSE,"단축2";#N/A,#N/A,FALSE,"단축3";#N/A,#N/A,FALSE,"장축";#N/A,#N/A,FALSE,"4WD"}</definedName>
    <definedName name="_k8" localSheetId="1" hidden="1">{#N/A,#N/A,FALSE,"단축1";#N/A,#N/A,FALSE,"단축2";#N/A,#N/A,FALSE,"단축3";#N/A,#N/A,FALSE,"장축";#N/A,#N/A,FALSE,"4WD"}</definedName>
    <definedName name="_k8" localSheetId="3" hidden="1">{#N/A,#N/A,FALSE,"단축1";#N/A,#N/A,FALSE,"단축2";#N/A,#N/A,FALSE,"단축3";#N/A,#N/A,FALSE,"장축";#N/A,#N/A,FALSE,"4WD"}</definedName>
    <definedName name="_k8" localSheetId="0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localSheetId="1" hidden="1">{#N/A,#N/A,FALSE,"단축1";#N/A,#N/A,FALSE,"단축2";#N/A,#N/A,FALSE,"단축3";#N/A,#N/A,FALSE,"장축";#N/A,#N/A,FALSE,"4WD"}</definedName>
    <definedName name="_k9" localSheetId="3" hidden="1">{#N/A,#N/A,FALSE,"단축1";#N/A,#N/A,FALSE,"단축2";#N/A,#N/A,FALSE,"단축3";#N/A,#N/A,FALSE,"장축";#N/A,#N/A,FALSE,"4WD"}</definedName>
    <definedName name="_k9" localSheetId="0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1" localSheetId="1" hidden="1">[4]Sheet1!#REF!</definedName>
    <definedName name="_Key1" hidden="1">[4]Sheet1!#REF!</definedName>
    <definedName name="_Key2" localSheetId="1" hidden="1">[4]Sheet1!#REF!</definedName>
    <definedName name="_Key2" hidden="1">[4]Sheet1!#REF!</definedName>
    <definedName name="_L80486SX_25">[3]COST!#REF!</definedName>
    <definedName name="_LPS2" localSheetId="1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2" localSheetId="1" hidden="1">{#N/A,#N/A,FALSE,"단축1";#N/A,#N/A,FALSE,"단축2";#N/A,#N/A,FALSE,"단축3";#N/A,#N/A,FALSE,"장축";#N/A,#N/A,FALSE,"4WD"}</definedName>
    <definedName name="_P2" localSheetId="3" hidden="1">{#N/A,#N/A,FALSE,"단축1";#N/A,#N/A,FALSE,"단축2";#N/A,#N/A,FALSE,"단축3";#N/A,#N/A,FALSE,"장축";#N/A,#N/A,FALSE,"4WD"}</definedName>
    <definedName name="_P2" localSheetId="0" hidden="1">{#N/A,#N/A,FALSE,"단축1";#N/A,#N/A,FALSE,"단축2";#N/A,#N/A,FALSE,"단축3";#N/A,#N/A,FALSE,"장축";#N/A,#N/A,FALSE,"4WD"}</definedName>
    <definedName name="_P2" hidden="1">{#N/A,#N/A,FALSE,"단축1";#N/A,#N/A,FALSE,"단축2";#N/A,#N/A,FALSE,"단축3";#N/A,#N/A,FALSE,"장축";#N/A,#N/A,FALSE,"4WD"}</definedName>
    <definedName name="_Parse_Out" localSheetId="3" hidden="1">#REF!</definedName>
    <definedName name="_Parse_Out" hidden="1">#REF!</definedName>
    <definedName name="_PB004" localSheetId="1" hidden="1">{#N/A,#N/A,FALSE,"단축1";#N/A,#N/A,FALSE,"단축2";#N/A,#N/A,FALSE,"단축3";#N/A,#N/A,FALSE,"장축";#N/A,#N/A,FALSE,"4WD"}</definedName>
    <definedName name="_PB004" localSheetId="3" hidden="1">{#N/A,#N/A,FALSE,"단축1";#N/A,#N/A,FALSE,"단축2";#N/A,#N/A,FALSE,"단축3";#N/A,#N/A,FALSE,"장축";#N/A,#N/A,FALSE,"4WD"}</definedName>
    <definedName name="_PB004" localSheetId="0" hidden="1">{#N/A,#N/A,FALSE,"단축1";#N/A,#N/A,FALSE,"단축2";#N/A,#N/A,FALSE,"단축3";#N/A,#N/A,FALSE,"장축";#N/A,#N/A,FALSE,"4WD"}</definedName>
    <definedName name="_PB004" hidden="1">{#N/A,#N/A,FALSE,"단축1";#N/A,#N/A,FALSE,"단축2";#N/A,#N/A,FALSE,"단축3";#N/A,#N/A,FALSE,"장축";#N/A,#N/A,FALSE,"4WD"}</definedName>
    <definedName name="_ppr1" localSheetId="1" hidden="1">{#N/A,#N/A,FALSE,"단축1";#N/A,#N/A,FALSE,"단축2";#N/A,#N/A,FALSE,"단축3";#N/A,#N/A,FALSE,"장축";#N/A,#N/A,FALSE,"4WD"}</definedName>
    <definedName name="_ppr1" localSheetId="3" hidden="1">{#N/A,#N/A,FALSE,"단축1";#N/A,#N/A,FALSE,"단축2";#N/A,#N/A,FALSE,"단축3";#N/A,#N/A,FALSE,"장축";#N/A,#N/A,FALSE,"4WD"}</definedName>
    <definedName name="_ppr1" localSheetId="0" hidden="1">{#N/A,#N/A,FALSE,"단축1";#N/A,#N/A,FALSE,"단축2";#N/A,#N/A,FALSE,"단축3";#N/A,#N/A,FALSE,"장축";#N/A,#N/A,FALSE,"4WD"}</definedName>
    <definedName name="_ppr1" hidden="1">{#N/A,#N/A,FALSE,"단축1";#N/A,#N/A,FALSE,"단축2";#N/A,#N/A,FALSE,"단축3";#N/A,#N/A,FALSE,"장축";#N/A,#N/A,FALSE,"4WD"}</definedName>
    <definedName name="_ppr2" localSheetId="1" hidden="1">{#N/A,#N/A,FALSE,"단축1";#N/A,#N/A,FALSE,"단축2";#N/A,#N/A,FALSE,"단축3";#N/A,#N/A,FALSE,"장축";#N/A,#N/A,FALSE,"4WD"}</definedName>
    <definedName name="_ppr2" localSheetId="3" hidden="1">{#N/A,#N/A,FALSE,"단축1";#N/A,#N/A,FALSE,"단축2";#N/A,#N/A,FALSE,"단축3";#N/A,#N/A,FALSE,"장축";#N/A,#N/A,FALSE,"4WD"}</definedName>
    <definedName name="_ppr2" localSheetId="0" hidden="1">{#N/A,#N/A,FALSE,"단축1";#N/A,#N/A,FALSE,"단축2";#N/A,#N/A,FALSE,"단축3";#N/A,#N/A,FALSE,"장축";#N/A,#N/A,FALSE,"4WD"}</definedName>
    <definedName name="_ppr2" hidden="1">{#N/A,#N/A,FALSE,"단축1";#N/A,#N/A,FALSE,"단축2";#N/A,#N/A,FALSE,"단축3";#N/A,#N/A,FALSE,"장축";#N/A,#N/A,FALSE,"4WD"}</definedName>
    <definedName name="_Q1" localSheetId="1" hidden="1">{#N/A,#N/A,FALSE,"단축1";#N/A,#N/A,FALSE,"단축2";#N/A,#N/A,FALSE,"단축3";#N/A,#N/A,FALSE,"장축";#N/A,#N/A,FALSE,"4WD"}</definedName>
    <definedName name="_Q1" localSheetId="3" hidden="1">{#N/A,#N/A,FALSE,"단축1";#N/A,#N/A,FALSE,"단축2";#N/A,#N/A,FALSE,"단축3";#N/A,#N/A,FALSE,"장축";#N/A,#N/A,FALSE,"4WD"}</definedName>
    <definedName name="_Q1" localSheetId="0" hidden="1">{#N/A,#N/A,FALSE,"단축1";#N/A,#N/A,FALSE,"단축2";#N/A,#N/A,FALSE,"단축3";#N/A,#N/A,FALSE,"장축";#N/A,#N/A,FALSE,"4WD"}</definedName>
    <definedName name="_Q1" hidden="1">{#N/A,#N/A,FALSE,"단축1";#N/A,#N/A,FALSE,"단축2";#N/A,#N/A,FALSE,"단축3";#N/A,#N/A,FALSE,"장축";#N/A,#N/A,FALSE,"4WD"}</definedName>
    <definedName name="_SDW1" localSheetId="1" hidden="1">'[1]#REF'!#REF!</definedName>
    <definedName name="_SDW1" hidden="1">'[1]#REF'!#REF!</definedName>
    <definedName name="_Sort" localSheetId="3" hidden="1">#REF!</definedName>
    <definedName name="_Sort" hidden="1">#REF!</definedName>
    <definedName name="_SW1">INDIRECT(CHOOSE(#REF!,"NEOR2","NEOPLUSI","NEOPLUSII","ERPX2","ERPXP","ICUBE"))</definedName>
    <definedName name="_SX25">[3]COST!#REF!</definedName>
    <definedName name="_T2" localSheetId="1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localSheetId="0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localSheetId="1" hidden="1">{#N/A,#N/A,FALSE,"단축1";#N/A,#N/A,FALSE,"단축2";#N/A,#N/A,FALSE,"단축3";#N/A,#N/A,FALSE,"장축";#N/A,#N/A,FALSE,"4WD"}</definedName>
    <definedName name="_T3" localSheetId="3" hidden="1">{#N/A,#N/A,FALSE,"단축1";#N/A,#N/A,FALSE,"단축2";#N/A,#N/A,FALSE,"단축3";#N/A,#N/A,FALSE,"장축";#N/A,#N/A,FALSE,"4WD"}</definedName>
    <definedName name="_T3" localSheetId="0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localSheetId="1" hidden="1">{#N/A,#N/A,FALSE,"단축1";#N/A,#N/A,FALSE,"단축2";#N/A,#N/A,FALSE,"단축3";#N/A,#N/A,FALSE,"장축";#N/A,#N/A,FALSE,"4WD"}</definedName>
    <definedName name="_T5" localSheetId="3" hidden="1">{#N/A,#N/A,FALSE,"단축1";#N/A,#N/A,FALSE,"단축2";#N/A,#N/A,FALSE,"단축3";#N/A,#N/A,FALSE,"장축";#N/A,#N/A,FALSE,"4WD"}</definedName>
    <definedName name="_T5" localSheetId="0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c1" localSheetId="1" hidden="1">{#N/A,#N/A,FALSE,"단축1";#N/A,#N/A,FALSE,"단축2";#N/A,#N/A,FALSE,"단축3";#N/A,#N/A,FALSE,"장축";#N/A,#N/A,FALSE,"4WD"}</definedName>
    <definedName name="_tc1" localSheetId="3" hidden="1">{#N/A,#N/A,FALSE,"단축1";#N/A,#N/A,FALSE,"단축2";#N/A,#N/A,FALSE,"단축3";#N/A,#N/A,FALSE,"장축";#N/A,#N/A,FALSE,"4WD"}</definedName>
    <definedName name="_tc1" localSheetId="0" hidden="1">{#N/A,#N/A,FALSE,"단축1";#N/A,#N/A,FALSE,"단축2";#N/A,#N/A,FALSE,"단축3";#N/A,#N/A,FALSE,"장축";#N/A,#N/A,FALSE,"4WD"}</definedName>
    <definedName name="_tc1" hidden="1">{#N/A,#N/A,FALSE,"단축1";#N/A,#N/A,FALSE,"단축2";#N/A,#N/A,FALSE,"단축3";#N/A,#N/A,FALSE,"장축";#N/A,#N/A,FALSE,"4WD"}</definedName>
    <definedName name="_tc2" localSheetId="1" hidden="1">{#N/A,#N/A,FALSE,"단축1";#N/A,#N/A,FALSE,"단축2";#N/A,#N/A,FALSE,"단축3";#N/A,#N/A,FALSE,"장축";#N/A,#N/A,FALSE,"4WD"}</definedName>
    <definedName name="_tc2" localSheetId="3" hidden="1">{#N/A,#N/A,FALSE,"단축1";#N/A,#N/A,FALSE,"단축2";#N/A,#N/A,FALSE,"단축3";#N/A,#N/A,FALSE,"장축";#N/A,#N/A,FALSE,"4WD"}</definedName>
    <definedName name="_tc2" localSheetId="0" hidden="1">{#N/A,#N/A,FALSE,"단축1";#N/A,#N/A,FALSE,"단축2";#N/A,#N/A,FALSE,"단축3";#N/A,#N/A,FALSE,"장축";#N/A,#N/A,FALSE,"4WD"}</definedName>
    <definedName name="_tc2" hidden="1">{#N/A,#N/A,FALSE,"단축1";#N/A,#N/A,FALSE,"단축2";#N/A,#N/A,FALSE,"단축3";#N/A,#N/A,FALSE,"장축";#N/A,#N/A,FALSE,"4WD"}</definedName>
    <definedName name="_tc3" localSheetId="1" hidden="1">{#N/A,#N/A,FALSE,"단축1";#N/A,#N/A,FALSE,"단축2";#N/A,#N/A,FALSE,"단축3";#N/A,#N/A,FALSE,"장축";#N/A,#N/A,FALSE,"4WD"}</definedName>
    <definedName name="_tc3" localSheetId="3" hidden="1">{#N/A,#N/A,FALSE,"단축1";#N/A,#N/A,FALSE,"단축2";#N/A,#N/A,FALSE,"단축3";#N/A,#N/A,FALSE,"장축";#N/A,#N/A,FALSE,"4WD"}</definedName>
    <definedName name="_tc3" localSheetId="0" hidden="1">{#N/A,#N/A,FALSE,"단축1";#N/A,#N/A,FALSE,"단축2";#N/A,#N/A,FALSE,"단축3";#N/A,#N/A,FALSE,"장축";#N/A,#N/A,FALSE,"4WD"}</definedName>
    <definedName name="_tc3" hidden="1">{#N/A,#N/A,FALSE,"단축1";#N/A,#N/A,FALSE,"단축2";#N/A,#N/A,FALSE,"단축3";#N/A,#N/A,FALSE,"장축";#N/A,#N/A,FALSE,"4WD"}</definedName>
    <definedName name="\a">#N/A</definedName>
    <definedName name="\b">#N/A</definedName>
    <definedName name="\p">#N/A</definedName>
    <definedName name="\z">#N/A</definedName>
    <definedName name="a" localSheetId="3">#REF!</definedName>
    <definedName name="a">#REF!</definedName>
    <definedName name="A1_00근거" localSheetId="1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2.5미진사항" localSheetId="1" hidden="1">{#N/A,#N/A,FALSE,"단축1";#N/A,#N/A,FALSE,"단축2";#N/A,#N/A,FALSE,"단축3";#N/A,#N/A,FALSE,"장축";#N/A,#N/A,FALSE,"4WD"}</definedName>
    <definedName name="a2.5미진사항" localSheetId="3" hidden="1">{#N/A,#N/A,FALSE,"단축1";#N/A,#N/A,FALSE,"단축2";#N/A,#N/A,FALSE,"단축3";#N/A,#N/A,FALSE,"장축";#N/A,#N/A,FALSE,"4WD"}</definedName>
    <definedName name="a2.5미진사항" localSheetId="0" hidden="1">{#N/A,#N/A,FALSE,"단축1";#N/A,#N/A,FALSE,"단축2";#N/A,#N/A,FALSE,"단축3";#N/A,#N/A,FALSE,"장축";#N/A,#N/A,FALSE,"4WD"}</definedName>
    <definedName name="a2.5미진사항" hidden="1">{#N/A,#N/A,FALSE,"단축1";#N/A,#N/A,FALSE,"단축2";#N/A,#N/A,FALSE,"단축3";#N/A,#N/A,FALSE,"장축";#N/A,#N/A,FALSE,"4WD"}</definedName>
    <definedName name="aaaaa" localSheetId="3">#REF!</definedName>
    <definedName name="aaaaa">#REF!</definedName>
    <definedName name="aaaaaaaaa" localSheetId="1" hidden="1">{"Acq_matrix",#N/A,FALSE,"Acquisition Matrix"}</definedName>
    <definedName name="aaaaaaaaa" localSheetId="3" hidden="1">{"Acq_matrix",#N/A,FALSE,"Acquisition Matrix"}</definedName>
    <definedName name="aaaaaaaaa" localSheetId="0" hidden="1">{"Acq_matrix",#N/A,FALSE,"Acquisition Matrix"}</definedName>
    <definedName name="aaaaaaaaa" hidden="1">{"Acq_matrix",#N/A,FALSE,"Acquisition Matrix"}</definedName>
    <definedName name="AAS" localSheetId="1" hidden="1">{#N/A,#N/A,FALSE,"단축1";#N/A,#N/A,FALSE,"단축2";#N/A,#N/A,FALSE,"단축3";#N/A,#N/A,FALSE,"장축";#N/A,#N/A,FALSE,"4WD"}</definedName>
    <definedName name="AAS" localSheetId="3" hidden="1">{#N/A,#N/A,FALSE,"단축1";#N/A,#N/A,FALSE,"단축2";#N/A,#N/A,FALSE,"단축3";#N/A,#N/A,FALSE,"장축";#N/A,#N/A,FALSE,"4WD"}</definedName>
    <definedName name="AAS" localSheetId="0" hidden="1">{#N/A,#N/A,FALSE,"단축1";#N/A,#N/A,FALSE,"단축2";#N/A,#N/A,FALSE,"단축3";#N/A,#N/A,FALSE,"장축";#N/A,#N/A,FALSE,"4WD"}</definedName>
    <definedName name="AAS" hidden="1">{#N/A,#N/A,FALSE,"단축1";#N/A,#N/A,FALSE,"단축2";#N/A,#N/A,FALSE,"단축3";#N/A,#N/A,FALSE,"장축";#N/A,#N/A,FALSE,"4WD"}</definedName>
    <definedName name="abcdeff" localSheetId="1" hidden="1">{#N/A,#N/A,FALSE,"단축1";#N/A,#N/A,FALSE,"단축2";#N/A,#N/A,FALSE,"단축3";#N/A,#N/A,FALSE,"장축";#N/A,#N/A,FALSE,"4WD"}</definedName>
    <definedName name="abcdeff" localSheetId="3" hidden="1">{#N/A,#N/A,FALSE,"단축1";#N/A,#N/A,FALSE,"단축2";#N/A,#N/A,FALSE,"단축3";#N/A,#N/A,FALSE,"장축";#N/A,#N/A,FALSE,"4WD"}</definedName>
    <definedName name="abcdeff" localSheetId="0" hidden="1">{#N/A,#N/A,FALSE,"단축1";#N/A,#N/A,FALSE,"단축2";#N/A,#N/A,FALSE,"단축3";#N/A,#N/A,FALSE,"장축";#N/A,#N/A,FALSE,"4WD"}</definedName>
    <definedName name="abcdeff" hidden="1">{#N/A,#N/A,FALSE,"단축1";#N/A,#N/A,FALSE,"단축2";#N/A,#N/A,FALSE,"단축3";#N/A,#N/A,FALSE,"장축";#N/A,#N/A,FALSE,"4WD"}</definedName>
    <definedName name="Access_Button" hidden="1">"F분석표_1_100_List"</definedName>
    <definedName name="AccessDatabase" hidden="1">"C:\생산판매\long98\9802장판원본.mdb"</definedName>
    <definedName name="acd" localSheetId="1" hidden="1">{#N/A,#N/A,FALSE,"단축1";#N/A,#N/A,FALSE,"단축2";#N/A,#N/A,FALSE,"단축3";#N/A,#N/A,FALSE,"장축";#N/A,#N/A,FALSE,"4WD"}</definedName>
    <definedName name="acd" localSheetId="3" hidden="1">{#N/A,#N/A,FALSE,"단축1";#N/A,#N/A,FALSE,"단축2";#N/A,#N/A,FALSE,"단축3";#N/A,#N/A,FALSE,"장축";#N/A,#N/A,FALSE,"4WD"}</definedName>
    <definedName name="acd" localSheetId="0" hidden="1">{#N/A,#N/A,FALSE,"단축1";#N/A,#N/A,FALSE,"단축2";#N/A,#N/A,FALSE,"단축3";#N/A,#N/A,FALSE,"장축";#N/A,#N/A,FALSE,"4WD"}</definedName>
    <definedName name="acd" hidden="1">{#N/A,#N/A,FALSE,"단축1";#N/A,#N/A,FALSE,"단축2";#N/A,#N/A,FALSE,"단축3";#N/A,#N/A,FALSE,"장축";#N/A,#N/A,FALSE,"4WD"}</definedName>
    <definedName name="adc" localSheetId="1" hidden="1">{#N/A,#N/A,FALSE,"단축1";#N/A,#N/A,FALSE,"단축2";#N/A,#N/A,FALSE,"단축3";#N/A,#N/A,FALSE,"장축";#N/A,#N/A,FALSE,"4WD"}</definedName>
    <definedName name="adc" localSheetId="3" hidden="1">{#N/A,#N/A,FALSE,"단축1";#N/A,#N/A,FALSE,"단축2";#N/A,#N/A,FALSE,"단축3";#N/A,#N/A,FALSE,"장축";#N/A,#N/A,FALSE,"4WD"}</definedName>
    <definedName name="adc" localSheetId="0" hidden="1">{#N/A,#N/A,FALSE,"단축1";#N/A,#N/A,FALSE,"단축2";#N/A,#N/A,FALSE,"단축3";#N/A,#N/A,FALSE,"장축";#N/A,#N/A,FALSE,"4WD"}</definedName>
    <definedName name="adc" hidden="1">{#N/A,#N/A,FALSE,"단축1";#N/A,#N/A,FALSE,"단축2";#N/A,#N/A,FALSE,"단축3";#N/A,#N/A,FALSE,"장축";#N/A,#N/A,FALSE,"4WD"}</definedName>
    <definedName name="adcc" localSheetId="1" hidden="1">{#N/A,#N/A,FALSE,"단축1";#N/A,#N/A,FALSE,"단축2";#N/A,#N/A,FALSE,"단축3";#N/A,#N/A,FALSE,"장축";#N/A,#N/A,FALSE,"4WD"}</definedName>
    <definedName name="adcc" localSheetId="3" hidden="1">{#N/A,#N/A,FALSE,"단축1";#N/A,#N/A,FALSE,"단축2";#N/A,#N/A,FALSE,"단축3";#N/A,#N/A,FALSE,"장축";#N/A,#N/A,FALSE,"4WD"}</definedName>
    <definedName name="adcc" localSheetId="0" hidden="1">{#N/A,#N/A,FALSE,"단축1";#N/A,#N/A,FALSE,"단축2";#N/A,#N/A,FALSE,"단축3";#N/A,#N/A,FALSE,"장축";#N/A,#N/A,FALSE,"4WD"}</definedName>
    <definedName name="adcc" hidden="1">{#N/A,#N/A,FALSE,"단축1";#N/A,#N/A,FALSE,"단축2";#N/A,#N/A,FALSE,"단축3";#N/A,#N/A,FALSE,"장축";#N/A,#N/A,FALSE,"4WD"}</definedName>
    <definedName name="adr" localSheetId="1" hidden="1">{#N/A,#N/A,FALSE,"단축1";#N/A,#N/A,FALSE,"단축2";#N/A,#N/A,FALSE,"단축3";#N/A,#N/A,FALSE,"장축";#N/A,#N/A,FALSE,"4WD"}</definedName>
    <definedName name="adr" localSheetId="3" hidden="1">{#N/A,#N/A,FALSE,"단축1";#N/A,#N/A,FALSE,"단축2";#N/A,#N/A,FALSE,"단축3";#N/A,#N/A,FALSE,"장축";#N/A,#N/A,FALSE,"4WD"}</definedName>
    <definedName name="adr" localSheetId="0" hidden="1">{#N/A,#N/A,FALSE,"단축1";#N/A,#N/A,FALSE,"단축2";#N/A,#N/A,FALSE,"단축3";#N/A,#N/A,FALSE,"장축";#N/A,#N/A,FALSE,"4WD"}</definedName>
    <definedName name="adr" hidden="1">{#N/A,#N/A,FALSE,"단축1";#N/A,#N/A,FALSE,"단축2";#N/A,#N/A,FALSE,"단축3";#N/A,#N/A,FALSE,"장축";#N/A,#N/A,FALSE,"4WD"}</definedName>
    <definedName name="ADSDF" localSheetId="1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localSheetId="0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WD" localSheetId="1" hidden="1">{"'표지'!$B$5"}</definedName>
    <definedName name="ADWD" localSheetId="3" hidden="1">{"'표지'!$B$5"}</definedName>
    <definedName name="ADWD" hidden="1">{"'표지'!$B$5"}</definedName>
    <definedName name="AL" localSheetId="1" hidden="1">{#N/A,#N/A,FALSE,"단축1";#N/A,#N/A,FALSE,"단축2";#N/A,#N/A,FALSE,"단축3";#N/A,#N/A,FALSE,"장축";#N/A,#N/A,FALSE,"4WD"}</definedName>
    <definedName name="AL" localSheetId="3" hidden="1">{#N/A,#N/A,FALSE,"단축1";#N/A,#N/A,FALSE,"단축2";#N/A,#N/A,FALSE,"단축3";#N/A,#N/A,FALSE,"장축";#N/A,#N/A,FALSE,"4WD"}</definedName>
    <definedName name="AL" localSheetId="0" hidden="1">{#N/A,#N/A,FALSE,"단축1";#N/A,#N/A,FALSE,"단축2";#N/A,#N/A,FALSE,"단축3";#N/A,#N/A,FALSE,"장축";#N/A,#N/A,FALSE,"4WD"}</definedName>
    <definedName name="AL" hidden="1">{#N/A,#N/A,FALSE,"단축1";#N/A,#N/A,FALSE,"단축2";#N/A,#N/A,FALSE,"단축3";#N/A,#N/A,FALSE,"장축";#N/A,#N/A,FALSE,"4WD"}</definedName>
    <definedName name="asd" localSheetId="1" hidden="1">{"qchm_dcf",#N/A,FALSE,"QCHMDCF2";"qchm_terminal",#N/A,FALSE,"QCHMDCF2"}</definedName>
    <definedName name="asd" localSheetId="3" hidden="1">{"qchm_dcf",#N/A,FALSE,"QCHMDCF2";"qchm_terminal",#N/A,FALSE,"QCHMDCF2"}</definedName>
    <definedName name="asd" localSheetId="0" hidden="1">{"qchm_dcf",#N/A,FALSE,"QCHMDCF2";"qchm_terminal",#N/A,FALSE,"QCHMDCF2"}</definedName>
    <definedName name="asd" hidden="1">{"qchm_dcf",#N/A,FALSE,"QCHMDCF2";"qchm_terminal",#N/A,FALSE,"QCHMDCF2"}</definedName>
    <definedName name="asdasd" localSheetId="1" hidden="1">{"qchm_dcf",#N/A,FALSE,"QCHMDCF2";"qchm_terminal",#N/A,FALSE,"QCHMDCF2"}</definedName>
    <definedName name="asdasd" localSheetId="3" hidden="1">{"qchm_dcf",#N/A,FALSE,"QCHMDCF2";"qchm_terminal",#N/A,FALSE,"QCHMDCF2"}</definedName>
    <definedName name="asdasd" localSheetId="0" hidden="1">{"qchm_dcf",#N/A,FALSE,"QCHMDCF2";"qchm_terminal",#N/A,FALSE,"QCHMDCF2"}</definedName>
    <definedName name="asdasd" hidden="1">{"qchm_dcf",#N/A,FALSE,"QCHMDCF2";"qchm_terminal",#N/A,FALSE,"QCHMDCF2"}</definedName>
    <definedName name="asdf" localSheetId="1" hidden="1">{"AQUIRORDCF",#N/A,FALSE,"Merger consequences";"Acquirorassns",#N/A,FALSE,"Merger consequences"}</definedName>
    <definedName name="asdf" localSheetId="3" hidden="1">{"AQUIRORDCF",#N/A,FALSE,"Merger consequences";"Acquirorassns",#N/A,FALSE,"Merger consequences"}</definedName>
    <definedName name="asdf" localSheetId="0" hidden="1">{"AQUIRORDCF",#N/A,FALSE,"Merger consequences";"Acquirorassns",#N/A,FALSE,"Merger consequences"}</definedName>
    <definedName name="asdf" hidden="1">{"AQUIRORDCF",#N/A,FALSE,"Merger consequences";"Acquirorassns",#N/A,FALSE,"Merger consequences"}</definedName>
    <definedName name="asdfdas" localSheetId="1" hidden="1">{"qchm_dcf",#N/A,FALSE,"QCHMDCF2";"qchm_terminal",#N/A,FALSE,"QCHMDCF2"}</definedName>
    <definedName name="asdfdas" localSheetId="3" hidden="1">{"qchm_dcf",#N/A,FALSE,"QCHMDCF2";"qchm_terminal",#N/A,FALSE,"QCHMDCF2"}</definedName>
    <definedName name="asdfdas" localSheetId="0" hidden="1">{"qchm_dcf",#N/A,FALSE,"QCHMDCF2";"qchm_terminal",#N/A,FALSE,"QCHMDCF2"}</definedName>
    <definedName name="asdfdas" hidden="1">{"qchm_dcf",#N/A,FALSE,"QCHMDCF2";"qchm_terminal",#N/A,FALSE,"QCHMDCF2"}</definedName>
    <definedName name="asdgfds" localSheetId="1" hidden="1">{"targetdcf",#N/A,FALSE,"Merger consequences";"TARGETASSU",#N/A,FALSE,"Merger consequences";"TERMINAL VALUE",#N/A,FALSE,"Merger consequences"}</definedName>
    <definedName name="asdgfds" localSheetId="3" hidden="1">{"targetdcf",#N/A,FALSE,"Merger consequences";"TARGETASSU",#N/A,FALSE,"Merger consequences";"TERMINAL VALUE",#N/A,FALSE,"Merger consequences"}</definedName>
    <definedName name="asdgfds" localSheetId="0" hidden="1">{"targetdcf",#N/A,FALSE,"Merger consequences";"TARGETASSU",#N/A,FALSE,"Merger consequences";"TERMINAL VALUE",#N/A,FALSE,"Merger consequences"}</definedName>
    <definedName name="asdgfds" hidden="1">{"targetdcf",#N/A,FALSE,"Merger consequences";"TARGETASSU",#N/A,FALSE,"Merger consequences";"TERMINAL VALUE",#N/A,FALSE,"Merger consequences"}</definedName>
    <definedName name="ASQ" localSheetId="1" hidden="1">{#N/A,#N/A,FALSE,"총괄수정"}</definedName>
    <definedName name="ASQ" localSheetId="3" hidden="1">{#N/A,#N/A,FALSE,"총괄수정"}</definedName>
    <definedName name="ASQ" localSheetId="0" hidden="1">{#N/A,#N/A,FALSE,"총괄수정"}</definedName>
    <definedName name="ASQ" hidden="1">{#N/A,#N/A,FALSE,"총괄수정"}</definedName>
    <definedName name="ASSY" localSheetId="1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localSheetId="0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BL" localSheetId="1" hidden="1">{#N/A,#N/A,FALSE,"신규dep";#N/A,#N/A,FALSE,"신규dep-금형상각후";#N/A,#N/A,FALSE,"신규dep-연구비상각후";#N/A,#N/A,FALSE,"신규dep-기계,공구상각후"}</definedName>
    <definedName name="BL" localSheetId="3" hidden="1">{#N/A,#N/A,FALSE,"신규dep";#N/A,#N/A,FALSE,"신규dep-금형상각후";#N/A,#N/A,FALSE,"신규dep-연구비상각후";#N/A,#N/A,FALSE,"신규dep-기계,공구상각후"}</definedName>
    <definedName name="BL" localSheetId="0" hidden="1">{#N/A,#N/A,FALSE,"신규dep";#N/A,#N/A,FALSE,"신규dep-금형상각후";#N/A,#N/A,FALSE,"신규dep-연구비상각후";#N/A,#N/A,FALSE,"신규dep-기계,공구상각후"}</definedName>
    <definedName name="BL" hidden="1">{#N/A,#N/A,FALSE,"신규dep";#N/A,#N/A,FALSE,"신규dep-금형상각후";#N/A,#N/A,FALSE,"신규dep-연구비상각후";#N/A,#N/A,FALSE,"신규dep-기계,공구상각후"}</definedName>
    <definedName name="book1" localSheetId="1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localSheetId="0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C80486DX_33">[3]COST!#REF!</definedName>
    <definedName name="C80486DX_50">[3]COST!#REF!</definedName>
    <definedName name="C80486DX2_50">[3]COST!#REF!</definedName>
    <definedName name="C80486DX2_66">[3]COST!#REF!</definedName>
    <definedName name="C80486SX_25">[3]COST!#REF!</definedName>
    <definedName name="C80486SX_33">[3]COST!#REF!</definedName>
    <definedName name="CAE해석" localSheetId="1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k" localSheetId="1" hidden="1">{"'표지'!$B$5"}</definedName>
    <definedName name="cbk" localSheetId="3" hidden="1">{"'표지'!$B$5"}</definedName>
    <definedName name="cbk" localSheetId="0" hidden="1">{"'표지'!$B$5"}</definedName>
    <definedName name="cbk" hidden="1">{"'표지'!$B$5"}</definedName>
    <definedName name="Chart_1">"Chart 1"</definedName>
    <definedName name="consulgin" localSheetId="1" hidden="1">{"'Price List '!$A$1:$R$156"}</definedName>
    <definedName name="consulgin" localSheetId="3" hidden="1">{"'Price List '!$A$1:$R$156"}</definedName>
    <definedName name="consulgin" localSheetId="0" hidden="1">{"'Price List '!$A$1:$R$156"}</definedName>
    <definedName name="consulgin" hidden="1">{"'Price List '!$A$1:$R$156"}</definedName>
    <definedName name="DATA1">#N/A</definedName>
    <definedName name="DATA2">#N/A</definedName>
    <definedName name="dfgdfhdfgjg" localSheetId="1" hidden="1">{"targetdcf",#N/A,FALSE,"Merger consequences";"TARGETASSU",#N/A,FALSE,"Merger consequences";"TERMINAL VALUE",#N/A,FALSE,"Merger consequences"}</definedName>
    <definedName name="dfgdfhdfgjg" localSheetId="3" hidden="1">{"targetdcf",#N/A,FALSE,"Merger consequences";"TARGETASSU",#N/A,FALSE,"Merger consequences";"TERMINAL VALUE",#N/A,FALSE,"Merger consequences"}</definedName>
    <definedName name="dfgdfhdfgjg" localSheetId="0" hidden="1">{"targetdcf",#N/A,FALSE,"Merger consequences";"TARGETASSU",#N/A,FALSE,"Merger consequences";"TERMINAL VALUE",#N/A,FALSE,"Merger consequences"}</definedName>
    <definedName name="dfgdfhdfgjg" hidden="1">{"targetdcf",#N/A,FALSE,"Merger consequences";"TARGETASSU",#N/A,FALSE,"Merger consequences";"TERMINAL VALUE",#N/A,FALSE,"Merger consequences"}</definedName>
    <definedName name="dfgfds" localSheetId="1" hidden="1">{"AQUIRORDCF",#N/A,FALSE,"Merger consequences";"Acquirorassns",#N/A,FALSE,"Merger consequences"}</definedName>
    <definedName name="dfgfds" localSheetId="3" hidden="1">{"AQUIRORDCF",#N/A,FALSE,"Merger consequences";"Acquirorassns",#N/A,FALSE,"Merger consequences"}</definedName>
    <definedName name="dfgfds" localSheetId="0" hidden="1">{"AQUIRORDCF",#N/A,FALSE,"Merger consequences";"Acquirorassns",#N/A,FALSE,"Merger consequences"}</definedName>
    <definedName name="dfgfds" hidden="1">{"AQUIRORDCF",#N/A,FALSE,"Merger consequences";"Acquirorassns",#N/A,FALSE,"Merger consequences"}</definedName>
    <definedName name="dfghdfg" localSheetId="1" hidden="1">{"targetdcf",#N/A,FALSE,"Merger consequences";"TARGETASSU",#N/A,FALSE,"Merger consequences";"TERMINAL VALUE",#N/A,FALSE,"Merger consequences"}</definedName>
    <definedName name="dfghdfg" localSheetId="3" hidden="1">{"targetdcf",#N/A,FALSE,"Merger consequences";"TARGETASSU",#N/A,FALSE,"Merger consequences";"TERMINAL VALUE",#N/A,FALSE,"Merger consequences"}</definedName>
    <definedName name="dfghdfg" localSheetId="0" hidden="1">{"targetdcf",#N/A,FALSE,"Merger consequences";"TARGETASSU",#N/A,FALSE,"Merger consequences";"TERMINAL VALUE",#N/A,FALSE,"Merger consequences"}</definedName>
    <definedName name="dfghdfg" hidden="1">{"targetdcf",#N/A,FALSE,"Merger consequences";"TARGETASSU",#N/A,FALSE,"Merger consequences";"TERMINAL VALUE",#N/A,FALSE,"Merger consequences"}</definedName>
    <definedName name="dfgssss" localSheetId="1" hidden="1">{"qchm_dcf",#N/A,FALSE,"QCHMDCF2";"qchm_terminal",#N/A,FALSE,"QCHMDCF2"}</definedName>
    <definedName name="dfgssss" localSheetId="3" hidden="1">{"qchm_dcf",#N/A,FALSE,"QCHMDCF2";"qchm_terminal",#N/A,FALSE,"QCHMDCF2"}</definedName>
    <definedName name="dfgssss" localSheetId="0" hidden="1">{"qchm_dcf",#N/A,FALSE,"QCHMDCF2";"qchm_terminal",#N/A,FALSE,"QCHMDCF2"}</definedName>
    <definedName name="dfgssss" hidden="1">{"qchm_dcf",#N/A,FALSE,"QCHMDCF2";"qchm_terminal",#N/A,FALSE,"QCHMDCF2"}</definedName>
    <definedName name="DFS" localSheetId="1" hidden="1">{#N/A,#N/A,FALSE,"단축1";#N/A,#N/A,FALSE,"단축2";#N/A,#N/A,FALSE,"단축3";#N/A,#N/A,FALSE,"장축";#N/A,#N/A,FALSE,"4WD"}</definedName>
    <definedName name="DFS" localSheetId="3" hidden="1">{#N/A,#N/A,FALSE,"단축1";#N/A,#N/A,FALSE,"단축2";#N/A,#N/A,FALSE,"단축3";#N/A,#N/A,FALSE,"장축";#N/A,#N/A,FALSE,"4WD"}</definedName>
    <definedName name="DFS" localSheetId="0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fsg" localSheetId="1" hidden="1">{"AQUIRORDCF",#N/A,FALSE,"Merger consequences";"Acquirorassns",#N/A,FALSE,"Merger consequences"}</definedName>
    <definedName name="dfsg" localSheetId="3" hidden="1">{"AQUIRORDCF",#N/A,FALSE,"Merger consequences";"Acquirorassns",#N/A,FALSE,"Merger consequences"}</definedName>
    <definedName name="dfsg" localSheetId="0" hidden="1">{"AQUIRORDCF",#N/A,FALSE,"Merger consequences";"Acquirorassns",#N/A,FALSE,"Merger consequences"}</definedName>
    <definedName name="dfsg" hidden="1">{"AQUIRORDCF",#N/A,FALSE,"Merger consequences";"Acquirorassns",#N/A,FALSE,"Merger consequences"}</definedName>
    <definedName name="dfssdss" localSheetId="1" hidden="1">{"targetdcf",#N/A,FALSE,"Merger consequences";"TARGETASSU",#N/A,FALSE,"Merger consequences";"TERMINAL VALUE",#N/A,FALSE,"Merger consequences"}</definedName>
    <definedName name="dfssdss" localSheetId="3" hidden="1">{"targetdcf",#N/A,FALSE,"Merger consequences";"TARGETASSU",#N/A,FALSE,"Merger consequences";"TERMINAL VALUE",#N/A,FALSE,"Merger consequences"}</definedName>
    <definedName name="dfssdss" localSheetId="0" hidden="1">{"targetdcf",#N/A,FALSE,"Merger consequences";"TARGETASSU",#N/A,FALSE,"Merger consequences";"TERMINAL VALUE",#N/A,FALSE,"Merger consequences"}</definedName>
    <definedName name="dfssdss" hidden="1">{"targetdcf",#N/A,FALSE,"Merger consequences";"TARGETASSU",#N/A,FALSE,"Merger consequences";"TERMINAL VALUE",#N/A,FALSE,"Merger consequences"}</definedName>
    <definedName name="dgfhfghg" localSheetId="1" hidden="1">{"targetdcf",#N/A,FALSE,"Merger consequences";"TARGETASSU",#N/A,FALSE,"Merger consequences";"TERMINAL VALUE",#N/A,FALSE,"Merger consequences"}</definedName>
    <definedName name="dgfhfghg" localSheetId="3" hidden="1">{"targetdcf",#N/A,FALSE,"Merger consequences";"TARGETASSU",#N/A,FALSE,"Merger consequences";"TERMINAL VALUE",#N/A,FALSE,"Merger consequences"}</definedName>
    <definedName name="dgfhfghg" localSheetId="0" hidden="1">{"targetdcf",#N/A,FALSE,"Merger consequences";"TARGETASSU",#N/A,FALSE,"Merger consequences";"TERMINAL VALUE",#N/A,FALSE,"Merger consequences"}</definedName>
    <definedName name="dgfhfghg" hidden="1">{"targetdcf",#N/A,FALSE,"Merger consequences";"TARGETASSU",#N/A,FALSE,"Merger consequences";"TERMINAL VALUE",#N/A,FALSE,"Merger consequences"}</definedName>
    <definedName name="DGSGFCFHDF" localSheetId="1" hidden="1">{#N/A,#N/A,FALSE,"단축1";#N/A,#N/A,FALSE,"단축2";#N/A,#N/A,FALSE,"단축3";#N/A,#N/A,FALSE,"장축";#N/A,#N/A,FALSE,"4WD"}</definedName>
    <definedName name="DGSGFCFHDF" localSheetId="3" hidden="1">{#N/A,#N/A,FALSE,"단축1";#N/A,#N/A,FALSE,"단축2";#N/A,#N/A,FALSE,"단축3";#N/A,#N/A,FALSE,"장축";#N/A,#N/A,FALSE,"4WD"}</definedName>
    <definedName name="DGSGFCFHDF" localSheetId="0" hidden="1">{#N/A,#N/A,FALSE,"단축1";#N/A,#N/A,FALSE,"단축2";#N/A,#N/A,FALSE,"단축3";#N/A,#N/A,FALSE,"장축";#N/A,#N/A,FALSE,"4WD"}</definedName>
    <definedName name="DGSGFCFHDF" hidden="1">{#N/A,#N/A,FALSE,"단축1";#N/A,#N/A,FALSE,"단축2";#N/A,#N/A,FALSE,"단축3";#N/A,#N/A,FALSE,"장축";#N/A,#N/A,FALSE,"4WD"}</definedName>
    <definedName name="dhdg" localSheetId="1" hidden="1">{"qchm_dcf",#N/A,FALSE,"QCHMDCF2";"qchm_terminal",#N/A,FALSE,"QCHMDCF2"}</definedName>
    <definedName name="dhdg" localSheetId="3" hidden="1">{"qchm_dcf",#N/A,FALSE,"QCHMDCF2";"qchm_terminal",#N/A,FALSE,"QCHMDCF2"}</definedName>
    <definedName name="dhdg" localSheetId="0" hidden="1">{"qchm_dcf",#N/A,FALSE,"QCHMDCF2";"qchm_terminal",#N/A,FALSE,"QCHMDCF2"}</definedName>
    <definedName name="dhdg" hidden="1">{"qchm_dcf",#N/A,FALSE,"QCHMDCF2";"qchm_terminal",#N/A,FALSE,"QCHMDCF2"}</definedName>
    <definedName name="dhdh" localSheetId="1" hidden="1">{"'표지'!$B$5"}</definedName>
    <definedName name="dhdh" localSheetId="3" hidden="1">{"'표지'!$B$5"}</definedName>
    <definedName name="dhdh" localSheetId="0" hidden="1">{"'표지'!$B$5"}</definedName>
    <definedName name="dhdh" hidden="1">{"'표지'!$B$5"}</definedName>
    <definedName name="dhjgdfhj" localSheetId="1" hidden="1">{"targetdcf",#N/A,FALSE,"Merger consequences";"TARGETASSU",#N/A,FALSE,"Merger consequences";"TERMINAL VALUE",#N/A,FALSE,"Merger consequences"}</definedName>
    <definedName name="dhjgdfhj" localSheetId="3" hidden="1">{"targetdcf",#N/A,FALSE,"Merger consequences";"TARGETASSU",#N/A,FALSE,"Merger consequences";"TERMINAL VALUE",#N/A,FALSE,"Merger consequences"}</definedName>
    <definedName name="dhjgdfhj" localSheetId="0" hidden="1">{"targetdcf",#N/A,FALSE,"Merger consequences";"TARGETASSU",#N/A,FALSE,"Merger consequences";"TERMINAL VALUE",#N/A,FALSE,"Merger consequences"}</definedName>
    <definedName name="dhjgdfhj" hidden="1">{"targetdcf",#N/A,FALSE,"Merger consequences";"TARGETASSU",#N/A,FALSE,"Merger consequences";"TERMINAL VALUE",#N/A,FALSE,"Merger consequences"}</definedName>
    <definedName name="DIE" localSheetId="1" hidden="1">{#N/A,#N/A,FALSE,"단축1";#N/A,#N/A,FALSE,"단축2";#N/A,#N/A,FALSE,"단축3";#N/A,#N/A,FALSE,"장축";#N/A,#N/A,FALSE,"4WD"}</definedName>
    <definedName name="DIE" localSheetId="3" hidden="1">{#N/A,#N/A,FALSE,"단축1";#N/A,#N/A,FALSE,"단축2";#N/A,#N/A,FALSE,"단축3";#N/A,#N/A,FALSE,"장축";#N/A,#N/A,FALSE,"4WD"}</definedName>
    <definedName name="DIE" localSheetId="0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localSheetId="1" hidden="1">{#N/A,#N/A,FALSE,"단축1";#N/A,#N/A,FALSE,"단축2";#N/A,#N/A,FALSE,"단축3";#N/A,#N/A,FALSE,"장축";#N/A,#N/A,FALSE,"4WD"}</definedName>
    <definedName name="DIESEL" localSheetId="3" hidden="1">{#N/A,#N/A,FALSE,"단축1";#N/A,#N/A,FALSE,"단축2";#N/A,#N/A,FALSE,"단축3";#N/A,#N/A,FALSE,"장축";#N/A,#N/A,FALSE,"4WD"}</definedName>
    <definedName name="DIESEL" localSheetId="0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localSheetId="1" hidden="1">{#N/A,#N/A,FALSE,"단축1";#N/A,#N/A,FALSE,"단축2";#N/A,#N/A,FALSE,"단축3";#N/A,#N/A,FALSE,"장축";#N/A,#N/A,FALSE,"4WD"}</definedName>
    <definedName name="DIESELLL" localSheetId="3" hidden="1">{#N/A,#N/A,FALSE,"단축1";#N/A,#N/A,FALSE,"단축2";#N/A,#N/A,FALSE,"단축3";#N/A,#N/A,FALSE,"장축";#N/A,#N/A,FALSE,"4WD"}</definedName>
    <definedName name="DIESELLL" localSheetId="0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localSheetId="1" hidden="1">[5]CAUDIT!#REF!</definedName>
    <definedName name="DJ" hidden="1">[5]CAUDIT!#REF!</definedName>
    <definedName name="djhsdh" localSheetId="1" hidden="1">{"'표지'!$B$5"}</definedName>
    <definedName name="djhsdh" localSheetId="3" hidden="1">{"'표지'!$B$5"}</definedName>
    <definedName name="djhsdh" localSheetId="0" hidden="1">{"'표지'!$B$5"}</definedName>
    <definedName name="djhsdh" hidden="1">{"'표지'!$B$5"}</definedName>
    <definedName name="dkdkdkd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dkdkd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dkdk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dkd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SLDH" localSheetId="1" hidden="1">{#N/A,#N/A,FALSE,"단축1";#N/A,#N/A,FALSE,"단축2";#N/A,#N/A,FALSE,"단축3";#N/A,#N/A,FALSE,"장축";#N/A,#N/A,FALSE,"4WD"}</definedName>
    <definedName name="DKSLDH" localSheetId="3" hidden="1">{#N/A,#N/A,FALSE,"단축1";#N/A,#N/A,FALSE,"단축2";#N/A,#N/A,FALSE,"단축3";#N/A,#N/A,FALSE,"장축";#N/A,#N/A,FALSE,"4WD"}</definedName>
    <definedName name="DKSLDH" localSheetId="0" hidden="1">{#N/A,#N/A,FALSE,"단축1";#N/A,#N/A,FALSE,"단축2";#N/A,#N/A,FALSE,"단축3";#N/A,#N/A,FALSE,"장축";#N/A,#N/A,FALSE,"4WD"}</definedName>
    <definedName name="DKSLDH" hidden="1">{#N/A,#N/A,FALSE,"단축1";#N/A,#N/A,FALSE,"단축2";#N/A,#N/A,FALSE,"단축3";#N/A,#N/A,FALSE,"장축";#N/A,#N/A,FALSE,"4WD"}</definedName>
    <definedName name="DLS" localSheetId="1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localSheetId="0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RIVE" localSheetId="1" hidden="1">{#N/A,#N/A,FALSE,"단축1";#N/A,#N/A,FALSE,"단축2";#N/A,#N/A,FALSE,"단축3";#N/A,#N/A,FALSE,"장축";#N/A,#N/A,FALSE,"4WD"}</definedName>
    <definedName name="DRIVE" localSheetId="3" hidden="1">{#N/A,#N/A,FALSE,"단축1";#N/A,#N/A,FALSE,"단축2";#N/A,#N/A,FALSE,"단축3";#N/A,#N/A,FALSE,"장축";#N/A,#N/A,FALSE,"4WD"}</definedName>
    <definedName name="DRIVE" localSheetId="0" hidden="1">{#N/A,#N/A,FALSE,"단축1";#N/A,#N/A,FALSE,"단축2";#N/A,#N/A,FALSE,"단축3";#N/A,#N/A,FALSE,"장축";#N/A,#N/A,FALSE,"4WD"}</definedName>
    <definedName name="DRIVE" hidden="1">{#N/A,#N/A,FALSE,"단축1";#N/A,#N/A,FALSE,"단축2";#N/A,#N/A,FALSE,"단축3";#N/A,#N/A,FALSE,"장축";#N/A,#N/A,FALSE,"4WD"}</definedName>
    <definedName name="DRIVEABILITY" localSheetId="1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1" hidden="1">{"AQUIRORDCF",#N/A,FALSE,"Merger consequences";"Acquirorassns",#N/A,FALSE,"Merger consequences"}</definedName>
    <definedName name="ds" localSheetId="3" hidden="1">{"AQUIRORDCF",#N/A,FALSE,"Merger consequences";"Acquirorassns",#N/A,FALSE,"Merger consequences"}</definedName>
    <definedName name="ds" localSheetId="0" hidden="1">{"AQUIRORDCF",#N/A,FALSE,"Merger consequences";"Acquirorassns",#N/A,FALSE,"Merger consequences"}</definedName>
    <definedName name="ds" hidden="1">{"AQUIRORDCF",#N/A,FALSE,"Merger consequences";"Acquirorassns",#N/A,FALSE,"Merger consequences"}</definedName>
    <definedName name="dsafsdf" localSheetId="1" hidden="1">{"targetdcf",#N/A,FALSE,"Merger consequences";"TARGETASSU",#N/A,FALSE,"Merger consequences";"TERMINAL VALUE",#N/A,FALSE,"Merger consequences"}</definedName>
    <definedName name="dsafsdf" localSheetId="3" hidden="1">{"targetdcf",#N/A,FALSE,"Merger consequences";"TARGETASSU",#N/A,FALSE,"Merger consequences";"TERMINAL VALUE",#N/A,FALSE,"Merger consequences"}</definedName>
    <definedName name="dsafsdf" localSheetId="0" hidden="1">{"targetdcf",#N/A,FALSE,"Merger consequences";"TARGETASSU",#N/A,FALSE,"Merger consequences";"TERMINAL VALUE",#N/A,FALSE,"Merger consequences"}</definedName>
    <definedName name="dsafsdf" hidden="1">{"targetdcf",#N/A,FALSE,"Merger consequences";"TARGETASSU",#N/A,FALSE,"Merger consequences";"TERMINAL VALUE",#N/A,FALSE,"Merger consequences"}</definedName>
    <definedName name="dsffsg" localSheetId="1" hidden="1">{"targetdcf",#N/A,FALSE,"Merger consequences";"TARGETASSU",#N/A,FALSE,"Merger consequences";"TERMINAL VALUE",#N/A,FALSE,"Merger consequences"}</definedName>
    <definedName name="dsffsg" localSheetId="3" hidden="1">{"targetdcf",#N/A,FALSE,"Merger consequences";"TARGETASSU",#N/A,FALSE,"Merger consequences";"TERMINAL VALUE",#N/A,FALSE,"Merger consequences"}</definedName>
    <definedName name="dsffsg" localSheetId="0" hidden="1">{"targetdcf",#N/A,FALSE,"Merger consequences";"TARGETASSU",#N/A,FALSE,"Merger consequences";"TERMINAL VALUE",#N/A,FALSE,"Merger consequences"}</definedName>
    <definedName name="dsffsg" hidden="1">{"targetdcf",#N/A,FALSE,"Merger consequences";"TARGETASSU",#N/A,FALSE,"Merger consequences";"TERMINAL VALUE",#N/A,FALSE,"Merger consequences"}</definedName>
    <definedName name="dsfg" localSheetId="1" hidden="1">{"qchm_dcf",#N/A,FALSE,"QCHMDCF2";"qchm_terminal",#N/A,FALSE,"QCHMDCF2"}</definedName>
    <definedName name="dsfg" localSheetId="3" hidden="1">{"qchm_dcf",#N/A,FALSE,"QCHMDCF2";"qchm_terminal",#N/A,FALSE,"QCHMDCF2"}</definedName>
    <definedName name="dsfg" localSheetId="0" hidden="1">{"qchm_dcf",#N/A,FALSE,"QCHMDCF2";"qchm_terminal",#N/A,FALSE,"QCHMDCF2"}</definedName>
    <definedName name="dsfg" hidden="1">{"qchm_dcf",#N/A,FALSE,"QCHMDCF2";"qchm_terminal",#N/A,FALSE,"QCHMDCF2"}</definedName>
    <definedName name="dsfgf" localSheetId="1" hidden="1">{"AQUIRORDCF",#N/A,FALSE,"Merger consequences";"Acquirorassns",#N/A,FALSE,"Merger consequences"}</definedName>
    <definedName name="dsfgf" localSheetId="3" hidden="1">{"AQUIRORDCF",#N/A,FALSE,"Merger consequences";"Acquirorassns",#N/A,FALSE,"Merger consequences"}</definedName>
    <definedName name="dsfgf" localSheetId="0" hidden="1">{"AQUIRORDCF",#N/A,FALSE,"Merger consequences";"Acquirorassns",#N/A,FALSE,"Merger consequences"}</definedName>
    <definedName name="dsfgf" hidden="1">{"AQUIRORDCF",#N/A,FALSE,"Merger consequences";"Acquirorassns",#N/A,FALSE,"Merger consequences"}</definedName>
    <definedName name="dsfgfs" localSheetId="1" hidden="1">{"qchm_dcf",#N/A,FALSE,"QCHMDCF2";"qchm_terminal",#N/A,FALSE,"QCHMDCF2"}</definedName>
    <definedName name="dsfgfs" localSheetId="3" hidden="1">{"qchm_dcf",#N/A,FALSE,"QCHMDCF2";"qchm_terminal",#N/A,FALSE,"QCHMDCF2"}</definedName>
    <definedName name="dsfgfs" localSheetId="0" hidden="1">{"qchm_dcf",#N/A,FALSE,"QCHMDCF2";"qchm_terminal",#N/A,FALSE,"QCHMDCF2"}</definedName>
    <definedName name="dsfgfs" hidden="1">{"qchm_dcf",#N/A,FALSE,"QCHMDCF2";"qchm_terminal",#N/A,FALSE,"QCHMDCF2"}</definedName>
    <definedName name="DSFHDFL" localSheetId="3" hidden="1">#REF!</definedName>
    <definedName name="DSFHDFL" hidden="1">#REF!</definedName>
    <definedName name="DSL" localSheetId="1" hidden="1">{#N/A,#N/A,FALSE,"단축1";#N/A,#N/A,FALSE,"단축2";#N/A,#N/A,FALSE,"단축3";#N/A,#N/A,FALSE,"장축";#N/A,#N/A,FALSE,"4WD"}</definedName>
    <definedName name="DSL" localSheetId="3" hidden="1">{#N/A,#N/A,FALSE,"단축1";#N/A,#N/A,FALSE,"단축2";#N/A,#N/A,FALSE,"단축3";#N/A,#N/A,FALSE,"장축";#N/A,#N/A,FALSE,"4WD"}</definedName>
    <definedName name="DSL" localSheetId="0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" localSheetId="1" hidden="1">{#N/A,#N/A,TRUE,"Y생산";#N/A,#N/A,TRUE,"Y판매";#N/A,#N/A,TRUE,"Y총물량";#N/A,#N/A,TRUE,"Y능력";#N/A,#N/A,TRUE,"YKD"}</definedName>
    <definedName name="E" localSheetId="3" hidden="1">{#N/A,#N/A,TRUE,"Y생산";#N/A,#N/A,TRUE,"Y판매";#N/A,#N/A,TRUE,"Y총물량";#N/A,#N/A,TRUE,"Y능력";#N/A,#N/A,TRUE,"YKD"}</definedName>
    <definedName name="E" localSheetId="0" hidden="1">{#N/A,#N/A,TRUE,"Y생산";#N/A,#N/A,TRUE,"Y판매";#N/A,#N/A,TRUE,"Y총물량";#N/A,#N/A,TRUE,"Y능력";#N/A,#N/A,TRUE,"YKD"}</definedName>
    <definedName name="E" hidden="1">{#N/A,#N/A,TRUE,"Y생산";#N/A,#N/A,TRUE,"Y판매";#N/A,#N/A,TRUE,"Y총물량";#N/A,#N/A,TRUE,"Y능력";#N/A,#N/A,TRUE,"YKD"}</definedName>
    <definedName name="ECMM" localSheetId="3">#REF!</definedName>
    <definedName name="ECMM">#REF!</definedName>
    <definedName name="EC등급" localSheetId="3">#REF!</definedName>
    <definedName name="EC등급">#REF!</definedName>
    <definedName name="EF제동" localSheetId="1" hidden="1">{#N/A,#N/A,FALSE,"단축1";#N/A,#N/A,FALSE,"단축2";#N/A,#N/A,FALSE,"단축3";#N/A,#N/A,FALSE,"장축";#N/A,#N/A,FALSE,"4WD"}</definedName>
    <definedName name="EF제동" localSheetId="3" hidden="1">{#N/A,#N/A,FALSE,"단축1";#N/A,#N/A,FALSE,"단축2";#N/A,#N/A,FALSE,"단축3";#N/A,#N/A,FALSE,"장축";#N/A,#N/A,FALSE,"4WD"}</definedName>
    <definedName name="EF제동" localSheetId="0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NG" localSheetId="1" hidden="1">'[1]#REF'!#REF!</definedName>
    <definedName name="ENG" hidden="1">'[1]#REF'!#REF!</definedName>
    <definedName name="EO계획" localSheetId="3" hidden="1">#REF!</definedName>
    <definedName name="EO계획" hidden="1">#REF!</definedName>
    <definedName name="ERP영업센터">[6]담당자!#REF!</definedName>
    <definedName name="ERRE" localSheetId="1" hidden="1">{#N/A,#N/A,FALSE,"단축1";#N/A,#N/A,FALSE,"단축2";#N/A,#N/A,FALSE,"단축3";#N/A,#N/A,FALSE,"장축";#N/A,#N/A,FALSE,"4WD"}</definedName>
    <definedName name="ERRE" localSheetId="3" hidden="1">{#N/A,#N/A,FALSE,"단축1";#N/A,#N/A,FALSE,"단축2";#N/A,#N/A,FALSE,"단축3";#N/A,#N/A,FALSE,"장축";#N/A,#N/A,FALSE,"4WD"}</definedName>
    <definedName name="ERRE" localSheetId="0" hidden="1">{#N/A,#N/A,FALSE,"단축1";#N/A,#N/A,FALSE,"단축2";#N/A,#N/A,FALSE,"단축3";#N/A,#N/A,FALSE,"장축";#N/A,#N/A,FALSE,"4WD"}</definedName>
    <definedName name="ERRE" hidden="1">{#N/A,#N/A,FALSE,"단축1";#N/A,#N/A,FALSE,"단축2";#N/A,#N/A,FALSE,"단축3";#N/A,#N/A,FALSE,"장축";#N/A,#N/A,FALSE,"4WD"}</definedName>
    <definedName name="ewr" localSheetId="3" hidden="1">#REF!</definedName>
    <definedName name="ewr" hidden="1">#REF!</definedName>
    <definedName name="F" localSheetId="1" hidden="1">{#N/A,#N/A,FALSE,"96 3월물량표";#N/A,#N/A,FALSE,"96 4월물량표";#N/A,#N/A,FALSE,"96 5월물량표"}</definedName>
    <definedName name="F" localSheetId="3" hidden="1">{#N/A,#N/A,FALSE,"96 3월물량표";#N/A,#N/A,FALSE,"96 4월물량표";#N/A,#N/A,FALSE,"96 5월물량표"}</definedName>
    <definedName name="F" localSheetId="0" hidden="1">{#N/A,#N/A,FALSE,"96 3월물량표";#N/A,#N/A,FALSE,"96 4월물량표";#N/A,#N/A,FALSE,"96 5월물량표"}</definedName>
    <definedName name="F" hidden="1">{#N/A,#N/A,FALSE,"96 3월물량표";#N/A,#N/A,FALSE,"96 4월물량표";#N/A,#N/A,FALSE,"96 5월물량표"}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dd" localSheetId="1" hidden="1">{"targetdcf",#N/A,FALSE,"Merger consequences";"TARGETASSU",#N/A,FALSE,"Merger consequences";"TERMINAL VALUE",#N/A,FALSE,"Merger consequences"}</definedName>
    <definedName name="fdd" localSheetId="3" hidden="1">{"targetdcf",#N/A,FALSE,"Merger consequences";"TARGETASSU",#N/A,FALSE,"Merger consequences";"TERMINAL VALUE",#N/A,FALSE,"Merger consequences"}</definedName>
    <definedName name="fdd" localSheetId="0" hidden="1">{"targetdcf",#N/A,FALSE,"Merger consequences";"TARGETASSU",#N/A,FALSE,"Merger consequences";"TERMINAL VALUE",#N/A,FALSE,"Merger consequences"}</definedName>
    <definedName name="fdd" hidden="1">{"targetdcf",#N/A,FALSE,"Merger consequences";"TARGETASSU",#N/A,FALSE,"Merger consequences";"TERMINAL VALUE",#N/A,FALSE,"Merger consequences"}</definedName>
    <definedName name="fdgfdsg" localSheetId="1" hidden="1">{"qchm_dcf",#N/A,FALSE,"QCHMDCF2";"qchm_terminal",#N/A,FALSE,"QCHMDCF2"}</definedName>
    <definedName name="fdgfdsg" localSheetId="3" hidden="1">{"qchm_dcf",#N/A,FALSE,"QCHMDCF2";"qchm_terminal",#N/A,FALSE,"QCHMDCF2"}</definedName>
    <definedName name="fdgfdsg" localSheetId="0" hidden="1">{"qchm_dcf",#N/A,FALSE,"QCHMDCF2";"qchm_terminal",#N/A,FALSE,"QCHMDCF2"}</definedName>
    <definedName name="fdgfdsg" hidden="1">{"qchm_dcf",#N/A,FALSE,"QCHMDCF2";"qchm_terminal",#N/A,FALSE,"QCHMDCF2"}</definedName>
    <definedName name="fdghdf" localSheetId="1" hidden="1">{"Acq_matrix",#N/A,FALSE,"Acquisition Matrix"}</definedName>
    <definedName name="fdghdf" localSheetId="3" hidden="1">{"Acq_matrix",#N/A,FALSE,"Acquisition Matrix"}</definedName>
    <definedName name="fdghdf" localSheetId="0" hidden="1">{"Acq_matrix",#N/A,FALSE,"Acquisition Matrix"}</definedName>
    <definedName name="fdghdf" hidden="1">{"Acq_matrix",#N/A,FALSE,"Acquisition Matrix"}</definedName>
    <definedName name="fdgsg" localSheetId="1" hidden="1">{"qchm_dcf",#N/A,FALSE,"QCHMDCF2";"qchm_terminal",#N/A,FALSE,"QCHMDCF2"}</definedName>
    <definedName name="fdgsg" localSheetId="3" hidden="1">{"qchm_dcf",#N/A,FALSE,"QCHMDCF2";"qchm_terminal",#N/A,FALSE,"QCHMDCF2"}</definedName>
    <definedName name="fdgsg" localSheetId="0" hidden="1">{"qchm_dcf",#N/A,FALSE,"QCHMDCF2";"qchm_terminal",#N/A,FALSE,"QCHMDCF2"}</definedName>
    <definedName name="fdgsg" hidden="1">{"qchm_dcf",#N/A,FALSE,"QCHMDCF2";"qchm_terminal",#N/A,FALSE,"QCHMDCF2"}</definedName>
    <definedName name="fdgss" localSheetId="1" hidden="1">{"qchm_dcf",#N/A,FALSE,"QCHMDCF2";"qchm_terminal",#N/A,FALSE,"QCHMDCF2"}</definedName>
    <definedName name="fdgss" localSheetId="3" hidden="1">{"qchm_dcf",#N/A,FALSE,"QCHMDCF2";"qchm_terminal",#N/A,FALSE,"QCHMDCF2"}</definedName>
    <definedName name="fdgss" localSheetId="0" hidden="1">{"qchm_dcf",#N/A,FALSE,"QCHMDCF2";"qchm_terminal",#N/A,FALSE,"QCHMDCF2"}</definedName>
    <definedName name="fdgss" hidden="1">{"qchm_dcf",#N/A,FALSE,"QCHMDCF2";"qchm_terminal",#N/A,FALSE,"QCHMDCF2"}</definedName>
    <definedName name="fdsfg" localSheetId="1" hidden="1">{"Acq_matrix",#N/A,FALSE,"Acquisition Matrix"}</definedName>
    <definedName name="fdsfg" localSheetId="3" hidden="1">{"Acq_matrix",#N/A,FALSE,"Acquisition Matrix"}</definedName>
    <definedName name="fdsfg" localSheetId="0" hidden="1">{"Acq_matrix",#N/A,FALSE,"Acquisition Matrix"}</definedName>
    <definedName name="fdsfg" hidden="1">{"Acq_matrix",#N/A,FALSE,"Acquisition Matrix"}</definedName>
    <definedName name="fdsggg" localSheetId="1" hidden="1">{"targetdcf",#N/A,FALSE,"Merger consequences";"TARGETASSU",#N/A,FALSE,"Merger consequences";"TERMINAL VALUE",#N/A,FALSE,"Merger consequences"}</definedName>
    <definedName name="fdsggg" localSheetId="3" hidden="1">{"targetdcf",#N/A,FALSE,"Merger consequences";"TARGETASSU",#N/A,FALSE,"Merger consequences";"TERMINAL VALUE",#N/A,FALSE,"Merger consequences"}</definedName>
    <definedName name="fdsggg" localSheetId="0" hidden="1">{"targetdcf",#N/A,FALSE,"Merger consequences";"TARGETASSU",#N/A,FALSE,"Merger consequences";"TERMINAL VALUE",#N/A,FALSE,"Merger consequences"}</definedName>
    <definedName name="fdsggg" hidden="1">{"targetdcf",#N/A,FALSE,"Merger consequences";"TARGETASSU",#N/A,FALSE,"Merger consequences";"TERMINAL VALUE",#N/A,FALSE,"Merger consequences"}</definedName>
    <definedName name="fdsgsddgf" localSheetId="1" hidden="1">{"qchm_dcf",#N/A,FALSE,"QCHMDCF2";"qchm_terminal",#N/A,FALSE,"QCHMDCF2"}</definedName>
    <definedName name="fdsgsddgf" localSheetId="3" hidden="1">{"qchm_dcf",#N/A,FALSE,"QCHMDCF2";"qchm_terminal",#N/A,FALSE,"QCHMDCF2"}</definedName>
    <definedName name="fdsgsddgf" localSheetId="0" hidden="1">{"qchm_dcf",#N/A,FALSE,"QCHMDCF2";"qchm_terminal",#N/A,FALSE,"QCHMDCF2"}</definedName>
    <definedName name="fdsgsddgf" hidden="1">{"qchm_dcf",#N/A,FALSE,"QCHMDCF2";"qchm_terminal",#N/A,FALSE,"QCHMDCF2"}</definedName>
    <definedName name="FFG" localSheetId="1" hidden="1">{#N/A,#N/A,FALSE,"단축1";#N/A,#N/A,FALSE,"단축2";#N/A,#N/A,FALSE,"단축3";#N/A,#N/A,FALSE,"장축";#N/A,#N/A,FALSE,"4WD"}</definedName>
    <definedName name="FFG" localSheetId="3" hidden="1">{#N/A,#N/A,FALSE,"단축1";#N/A,#N/A,FALSE,"단축2";#N/A,#N/A,FALSE,"단축3";#N/A,#N/A,FALSE,"장축";#N/A,#N/A,FALSE,"4WD"}</definedName>
    <definedName name="FFG" localSheetId="0" hidden="1">{#N/A,#N/A,FALSE,"단축1";#N/A,#N/A,FALSE,"단축2";#N/A,#N/A,FALSE,"단축3";#N/A,#N/A,FALSE,"장축";#N/A,#N/A,FALSE,"4WD"}</definedName>
    <definedName name="FFG" hidden="1">{#N/A,#N/A,FALSE,"단축1";#N/A,#N/A,FALSE,"단축2";#N/A,#N/A,FALSE,"단축3";#N/A,#N/A,FALSE,"장축";#N/A,#N/A,FALSE,"4WD"}</definedName>
    <definedName name="fgds" localSheetId="1" hidden="1">{"qchm_dcf",#N/A,FALSE,"QCHMDCF2";"qchm_terminal",#N/A,FALSE,"QCHMDCF2"}</definedName>
    <definedName name="fgds" localSheetId="3" hidden="1">{"qchm_dcf",#N/A,FALSE,"QCHMDCF2";"qchm_terminal",#N/A,FALSE,"QCHMDCF2"}</definedName>
    <definedName name="fgds" localSheetId="0" hidden="1">{"qchm_dcf",#N/A,FALSE,"QCHMDCF2";"qchm_terminal",#N/A,FALSE,"QCHMDCF2"}</definedName>
    <definedName name="fgds" hidden="1">{"qchm_dcf",#N/A,FALSE,"QCHMDCF2";"qchm_terminal",#N/A,FALSE,"QCHMDCF2"}</definedName>
    <definedName name="fgfgf" localSheetId="1" hidden="1">{#N/A,#N/A,FALSE,"단축1";#N/A,#N/A,FALSE,"단축2";#N/A,#N/A,FALSE,"단축3";#N/A,#N/A,FALSE,"장축";#N/A,#N/A,FALSE,"4WD"}</definedName>
    <definedName name="fgfgf" localSheetId="3" hidden="1">{#N/A,#N/A,FALSE,"단축1";#N/A,#N/A,FALSE,"단축2";#N/A,#N/A,FALSE,"단축3";#N/A,#N/A,FALSE,"장축";#N/A,#N/A,FALSE,"4WD"}</definedName>
    <definedName name="fgfgf" localSheetId="0" hidden="1">{#N/A,#N/A,FALSE,"단축1";#N/A,#N/A,FALSE,"단축2";#N/A,#N/A,FALSE,"단축3";#N/A,#N/A,FALSE,"장축";#N/A,#N/A,FALSE,"4WD"}</definedName>
    <definedName name="fgfgf" hidden="1">{#N/A,#N/A,FALSE,"단축1";#N/A,#N/A,FALSE,"단축2";#N/A,#N/A,FALSE,"단축3";#N/A,#N/A,FALSE,"장축";#N/A,#N/A,FALSE,"4WD"}</definedName>
    <definedName name="fgfgfg" localSheetId="1" hidden="1">{#N/A,#N/A,FALSE,"단축1";#N/A,#N/A,FALSE,"단축2";#N/A,#N/A,FALSE,"단축3";#N/A,#N/A,FALSE,"장축";#N/A,#N/A,FALSE,"4WD"}</definedName>
    <definedName name="fgfgfg" localSheetId="3" hidden="1">{#N/A,#N/A,FALSE,"단축1";#N/A,#N/A,FALSE,"단축2";#N/A,#N/A,FALSE,"단축3";#N/A,#N/A,FALSE,"장축";#N/A,#N/A,FALSE,"4WD"}</definedName>
    <definedName name="fgfgfg" localSheetId="0" hidden="1">{#N/A,#N/A,FALSE,"단축1";#N/A,#N/A,FALSE,"단축2";#N/A,#N/A,FALSE,"단축3";#N/A,#N/A,FALSE,"장축";#N/A,#N/A,FALSE,"4WD"}</definedName>
    <definedName name="fgfgfg" hidden="1">{#N/A,#N/A,FALSE,"단축1";#N/A,#N/A,FALSE,"단축2";#N/A,#N/A,FALSE,"단축3";#N/A,#N/A,FALSE,"장축";#N/A,#N/A,FALSE,"4WD"}</definedName>
    <definedName name="FGH" localSheetId="1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localSheetId="0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ILE" localSheetId="1" hidden="1">{#N/A,#N/A,FALSE,"단축1";#N/A,#N/A,FALSE,"단축2";#N/A,#N/A,FALSE,"단축3";#N/A,#N/A,FALSE,"장축";#N/A,#N/A,FALSE,"4WD"}</definedName>
    <definedName name="FILE" localSheetId="3" hidden="1">{#N/A,#N/A,FALSE,"단축1";#N/A,#N/A,FALSE,"단축2";#N/A,#N/A,FALSE,"단축3";#N/A,#N/A,FALSE,"장축";#N/A,#N/A,FALSE,"4WD"}</definedName>
    <definedName name="FILE" localSheetId="0" hidden="1">{#N/A,#N/A,FALSE,"단축1";#N/A,#N/A,FALSE,"단축2";#N/A,#N/A,FALSE,"단축3";#N/A,#N/A,FALSE,"장축";#N/A,#N/A,FALSE,"4WD"}</definedName>
    <definedName name="FILE" hidden="1">{#N/A,#N/A,FALSE,"단축1";#N/A,#N/A,FALSE,"단축2";#N/A,#N/A,FALSE,"단축3";#N/A,#N/A,FALSE,"장축";#N/A,#N/A,FALSE,"4WD"}</definedName>
    <definedName name="FILES" localSheetId="1" hidden="1">{#N/A,#N/A,FALSE,"단축1";#N/A,#N/A,FALSE,"단축2";#N/A,#N/A,FALSE,"단축3";#N/A,#N/A,FALSE,"장축";#N/A,#N/A,FALSE,"4WD"}</definedName>
    <definedName name="FILES" localSheetId="3" hidden="1">{#N/A,#N/A,FALSE,"단축1";#N/A,#N/A,FALSE,"단축2";#N/A,#N/A,FALSE,"단축3";#N/A,#N/A,FALSE,"장축";#N/A,#N/A,FALSE,"4WD"}</definedName>
    <definedName name="FILES" localSheetId="0" hidden="1">{#N/A,#N/A,FALSE,"단축1";#N/A,#N/A,FALSE,"단축2";#N/A,#N/A,FALSE,"단축3";#N/A,#N/A,FALSE,"장축";#N/A,#N/A,FALSE,"4WD"}</definedName>
    <definedName name="FILES" hidden="1">{#N/A,#N/A,FALSE,"단축1";#N/A,#N/A,FALSE,"단축2";#N/A,#N/A,FALSE,"단축3";#N/A,#N/A,FALSE,"장축";#N/A,#N/A,FALSE,"4WD"}</definedName>
    <definedName name="fkla" localSheetId="1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localSheetId="0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O투입시UPH조정" localSheetId="1" hidden="1">{#N/A,#N/A,FALSE,"단축1";#N/A,#N/A,FALSE,"단축2";#N/A,#N/A,FALSE,"단축3";#N/A,#N/A,FALSE,"장축";#N/A,#N/A,FALSE,"4WD"}</definedName>
    <definedName name="FO투입시UPH조정" localSheetId="3" hidden="1">{#N/A,#N/A,FALSE,"단축1";#N/A,#N/A,FALSE,"단축2";#N/A,#N/A,FALSE,"단축3";#N/A,#N/A,FALSE,"장축";#N/A,#N/A,FALSE,"4WD"}</definedName>
    <definedName name="FO투입시UPH조정" localSheetId="0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localSheetId="3" hidden="1">#REF!</definedName>
    <definedName name="FREEWHEEL" hidden="1">#REF!</definedName>
    <definedName name="gdf" localSheetId="1" hidden="1">{"AQUIRORDCF",#N/A,FALSE,"Merger consequences";"Acquirorassns",#N/A,FALSE,"Merger consequences"}</definedName>
    <definedName name="gdf" localSheetId="3" hidden="1">{"AQUIRORDCF",#N/A,FALSE,"Merger consequences";"Acquirorassns",#N/A,FALSE,"Merger consequences"}</definedName>
    <definedName name="gdf" localSheetId="0" hidden="1">{"AQUIRORDCF",#N/A,FALSE,"Merger consequences";"Acquirorassns",#N/A,FALSE,"Merger consequences"}</definedName>
    <definedName name="gdf" hidden="1">{"AQUIRORDCF",#N/A,FALSE,"Merger consequences";"Acquirorassns",#N/A,FALSE,"Merger consequences"}</definedName>
    <definedName name="gfd" localSheetId="1" hidden="1">{"targetdcf",#N/A,FALSE,"Merger consequences";"TARGETASSU",#N/A,FALSE,"Merger consequences";"TERMINAL VALUE",#N/A,FALSE,"Merger consequences"}</definedName>
    <definedName name="gfd" localSheetId="3" hidden="1">{"targetdcf",#N/A,FALSE,"Merger consequences";"TARGETASSU",#N/A,FALSE,"Merger consequences";"TERMINAL VALUE",#N/A,FALSE,"Merger consequences"}</definedName>
    <definedName name="gfd" localSheetId="0" hidden="1">{"targetdcf",#N/A,FALSE,"Merger consequences";"TARGETASSU",#N/A,FALSE,"Merger consequences";"TERMINAL VALUE",#N/A,FALSE,"Merger consequences"}</definedName>
    <definedName name="gfd" hidden="1">{"targetdcf",#N/A,FALSE,"Merger consequences";"TARGETASSU",#N/A,FALSE,"Merger consequences";"TERMINAL VALUE",#N/A,FALSE,"Merger consequences"}</definedName>
    <definedName name="gfddddddddd" localSheetId="1" hidden="1">{"Acq_matrix",#N/A,FALSE,"Acquisition Matrix"}</definedName>
    <definedName name="gfddddddddd" localSheetId="3" hidden="1">{"Acq_matrix",#N/A,FALSE,"Acquisition Matrix"}</definedName>
    <definedName name="gfddddddddd" localSheetId="0" hidden="1">{"Acq_matrix",#N/A,FALSE,"Acquisition Matrix"}</definedName>
    <definedName name="gfddddddddd" hidden="1">{"Acq_matrix",#N/A,FALSE,"Acquisition Matrix"}</definedName>
    <definedName name="gfdhd" localSheetId="1" hidden="1">{"targetdcf",#N/A,FALSE,"Merger consequences";"TARGETASSU",#N/A,FALSE,"Merger consequences";"TERMINAL VALUE",#N/A,FALSE,"Merger consequences"}</definedName>
    <definedName name="gfdhd" localSheetId="3" hidden="1">{"targetdcf",#N/A,FALSE,"Merger consequences";"TARGETASSU",#N/A,FALSE,"Merger consequences";"TERMINAL VALUE",#N/A,FALSE,"Merger consequences"}</definedName>
    <definedName name="gfdhd" localSheetId="0" hidden="1">{"targetdcf",#N/A,FALSE,"Merger consequences";"TARGETASSU",#N/A,FALSE,"Merger consequences";"TERMINAL VALUE",#N/A,FALSE,"Merger consequences"}</definedName>
    <definedName name="gfdhd" hidden="1">{"targetdcf",#N/A,FALSE,"Merger consequences";"TARGETASSU",#N/A,FALSE,"Merger consequences";"TERMINAL VALUE",#N/A,FALSE,"Merger consequences"}</definedName>
    <definedName name="gfdhddfh" localSheetId="1" hidden="1">{"qchm_dcf",#N/A,FALSE,"QCHMDCF2";"qchm_terminal",#N/A,FALSE,"QCHMDCF2"}</definedName>
    <definedName name="gfdhddfh" localSheetId="3" hidden="1">{"qchm_dcf",#N/A,FALSE,"QCHMDCF2";"qchm_terminal",#N/A,FALSE,"QCHMDCF2"}</definedName>
    <definedName name="gfdhddfh" localSheetId="0" hidden="1">{"qchm_dcf",#N/A,FALSE,"QCHMDCF2";"qchm_terminal",#N/A,FALSE,"QCHMDCF2"}</definedName>
    <definedName name="gfdhddfh" hidden="1">{"qchm_dcf",#N/A,FALSE,"QCHMDCF2";"qchm_terminal",#N/A,FALSE,"QCHMDCF2"}</definedName>
    <definedName name="gfdhdf" localSheetId="1" hidden="1">{"targetdcf",#N/A,FALSE,"Merger consequences";"TARGETASSU",#N/A,FALSE,"Merger consequences";"TERMINAL VALUE",#N/A,FALSE,"Merger consequences"}</definedName>
    <definedName name="gfdhdf" localSheetId="3" hidden="1">{"targetdcf",#N/A,FALSE,"Merger consequences";"TARGETASSU",#N/A,FALSE,"Merger consequences";"TERMINAL VALUE",#N/A,FALSE,"Merger consequences"}</definedName>
    <definedName name="gfdhdf" localSheetId="0" hidden="1">{"targetdcf",#N/A,FALSE,"Merger consequences";"TARGETASSU",#N/A,FALSE,"Merger consequences";"TERMINAL VALUE",#N/A,FALSE,"Merger consequences"}</definedName>
    <definedName name="gfdhdf" hidden="1">{"targetdcf",#N/A,FALSE,"Merger consequences";"TARGETASSU",#N/A,FALSE,"Merger consequences";"TERMINAL VALUE",#N/A,FALSE,"Merger consequences"}</definedName>
    <definedName name="gfdhdfg" localSheetId="1" hidden="1">{"targetdcf",#N/A,FALSE,"Merger consequences";"TARGETASSU",#N/A,FALSE,"Merger consequences";"TERMINAL VALUE",#N/A,FALSE,"Merger consequences"}</definedName>
    <definedName name="gfdhdfg" localSheetId="3" hidden="1">{"targetdcf",#N/A,FALSE,"Merger consequences";"TARGETASSU",#N/A,FALSE,"Merger consequences";"TERMINAL VALUE",#N/A,FALSE,"Merger consequences"}</definedName>
    <definedName name="gfdhdfg" localSheetId="0" hidden="1">{"targetdcf",#N/A,FALSE,"Merger consequences";"TARGETASSU",#N/A,FALSE,"Merger consequences";"TERMINAL VALUE",#N/A,FALSE,"Merger consequences"}</definedName>
    <definedName name="gfdhdfg" hidden="1">{"targetdcf",#N/A,FALSE,"Merger consequences";"TARGETASSU",#N/A,FALSE,"Merger consequences";"TERMINAL VALUE",#N/A,FALSE,"Merger consequences"}</definedName>
    <definedName name="gfdhdfgh" localSheetId="1" hidden="1">{"targetdcf",#N/A,FALSE,"Merger consequences";"TARGETASSU",#N/A,FALSE,"Merger consequences";"TERMINAL VALUE",#N/A,FALSE,"Merger consequences"}</definedName>
    <definedName name="gfdhdfgh" localSheetId="3" hidden="1">{"targetdcf",#N/A,FALSE,"Merger consequences";"TARGETASSU",#N/A,FALSE,"Merger consequences";"TERMINAL VALUE",#N/A,FALSE,"Merger consequences"}</definedName>
    <definedName name="gfdhdfgh" localSheetId="0" hidden="1">{"targetdcf",#N/A,FALSE,"Merger consequences";"TARGETASSU",#N/A,FALSE,"Merger consequences";"TERMINAL VALUE",#N/A,FALSE,"Merger consequences"}</definedName>
    <definedName name="gfdhdfgh" hidden="1">{"targetdcf",#N/A,FALSE,"Merger consequences";"TARGETASSU",#N/A,FALSE,"Merger consequences";"TERMINAL VALUE",#N/A,FALSE,"Merger consequences"}</definedName>
    <definedName name="gfdhdgf" localSheetId="1" hidden="1">{"qchm_dcf",#N/A,FALSE,"QCHMDCF2";"qchm_terminal",#N/A,FALSE,"QCHMDCF2"}</definedName>
    <definedName name="gfdhdgf" localSheetId="3" hidden="1">{"qchm_dcf",#N/A,FALSE,"QCHMDCF2";"qchm_terminal",#N/A,FALSE,"QCHMDCF2"}</definedName>
    <definedName name="gfdhdgf" localSheetId="0" hidden="1">{"qchm_dcf",#N/A,FALSE,"QCHMDCF2";"qchm_terminal",#N/A,FALSE,"QCHMDCF2"}</definedName>
    <definedName name="gfdhdgf" hidden="1">{"qchm_dcf",#N/A,FALSE,"QCHMDCF2";"qchm_terminal",#N/A,FALSE,"QCHMDCF2"}</definedName>
    <definedName name="gfdhgdfg" localSheetId="1" hidden="1">{"AQUIRORDCF",#N/A,FALSE,"Merger consequences";"Acquirorassns",#N/A,FALSE,"Merger consequences"}</definedName>
    <definedName name="gfdhgdfg" localSheetId="3" hidden="1">{"AQUIRORDCF",#N/A,FALSE,"Merger consequences";"Acquirorassns",#N/A,FALSE,"Merger consequences"}</definedName>
    <definedName name="gfdhgdfg" localSheetId="0" hidden="1">{"AQUIRORDCF",#N/A,FALSE,"Merger consequences";"Acquirorassns",#N/A,FALSE,"Merger consequences"}</definedName>
    <definedName name="gfdhgdfg" hidden="1">{"AQUIRORDCF",#N/A,FALSE,"Merger consequences";"Acquirorassns",#N/A,FALSE,"Merger consequences"}</definedName>
    <definedName name="gffffffffffff" localSheetId="1" hidden="1">{"targetdcf",#N/A,FALSE,"Merger consequences";"TARGETASSU",#N/A,FALSE,"Merger consequences";"TERMINAL VALUE",#N/A,FALSE,"Merger consequences"}</definedName>
    <definedName name="gffffffffffff" localSheetId="3" hidden="1">{"targetdcf",#N/A,FALSE,"Merger consequences";"TARGETASSU",#N/A,FALSE,"Merger consequences";"TERMINAL VALUE",#N/A,FALSE,"Merger consequences"}</definedName>
    <definedName name="gffffffffffff" localSheetId="0" hidden="1">{"targetdcf",#N/A,FALSE,"Merger consequences";"TARGETASSU",#N/A,FALSE,"Merger consequences";"TERMINAL VALUE",#N/A,FALSE,"Merger consequences"}</definedName>
    <definedName name="gffffffffffff" hidden="1">{"targetdcf",#N/A,FALSE,"Merger consequences";"TARGETASSU",#N/A,FALSE,"Merger consequences";"TERMINAL VALUE",#N/A,FALSE,"Merger consequences"}</definedName>
    <definedName name="gfg" localSheetId="1" hidden="1">{#N/A,#N/A,FALSE,"단축1";#N/A,#N/A,FALSE,"단축2";#N/A,#N/A,FALSE,"단축3";#N/A,#N/A,FALSE,"장축";#N/A,#N/A,FALSE,"4WD"}</definedName>
    <definedName name="gfg" localSheetId="3" hidden="1">{#N/A,#N/A,FALSE,"단축1";#N/A,#N/A,FALSE,"단축2";#N/A,#N/A,FALSE,"단축3";#N/A,#N/A,FALSE,"장축";#N/A,#N/A,FALSE,"4WD"}</definedName>
    <definedName name="gfg" localSheetId="0" hidden="1">{#N/A,#N/A,FALSE,"단축1";#N/A,#N/A,FALSE,"단축2";#N/A,#N/A,FALSE,"단축3";#N/A,#N/A,FALSE,"장축";#N/A,#N/A,FALSE,"4WD"}</definedName>
    <definedName name="gfg" hidden="1">{#N/A,#N/A,FALSE,"단축1";#N/A,#N/A,FALSE,"단축2";#N/A,#N/A,FALSE,"단축3";#N/A,#N/A,FALSE,"장축";#N/A,#N/A,FALSE,"4WD"}</definedName>
    <definedName name="gfgf" localSheetId="1" hidden="1">{#N/A,#N/A,FALSE,"단축1";#N/A,#N/A,FALSE,"단축2";#N/A,#N/A,FALSE,"단축3";#N/A,#N/A,FALSE,"장축";#N/A,#N/A,FALSE,"4WD"}</definedName>
    <definedName name="gfgf" localSheetId="3" hidden="1">{#N/A,#N/A,FALSE,"단축1";#N/A,#N/A,FALSE,"단축2";#N/A,#N/A,FALSE,"단축3";#N/A,#N/A,FALSE,"장축";#N/A,#N/A,FALSE,"4WD"}</definedName>
    <definedName name="gfgf" localSheetId="0" hidden="1">{#N/A,#N/A,FALSE,"단축1";#N/A,#N/A,FALSE,"단축2";#N/A,#N/A,FALSE,"단축3";#N/A,#N/A,FALSE,"장축";#N/A,#N/A,FALSE,"4WD"}</definedName>
    <definedName name="gfgf" hidden="1">{#N/A,#N/A,FALSE,"단축1";#N/A,#N/A,FALSE,"단축2";#N/A,#N/A,FALSE,"단축3";#N/A,#N/A,FALSE,"장축";#N/A,#N/A,FALSE,"4WD"}</definedName>
    <definedName name="gfhdfg" localSheetId="1" hidden="1">{"AQUIRORDCF",#N/A,FALSE,"Merger consequences";"Acquirorassns",#N/A,FALSE,"Merger consequences"}</definedName>
    <definedName name="gfhdfg" localSheetId="3" hidden="1">{"AQUIRORDCF",#N/A,FALSE,"Merger consequences";"Acquirorassns",#N/A,FALSE,"Merger consequences"}</definedName>
    <definedName name="gfhdfg" localSheetId="0" hidden="1">{"AQUIRORDCF",#N/A,FALSE,"Merger consequences";"Acquirorassns",#N/A,FALSE,"Merger consequences"}</definedName>
    <definedName name="gfhdfg" hidden="1">{"AQUIRORDCF",#N/A,FALSE,"Merger consequences";"Acquirorassns",#N/A,FALSE,"Merger consequences"}</definedName>
    <definedName name="gfhdgf" localSheetId="1" hidden="1">{"targetdcf",#N/A,FALSE,"Merger consequences";"TARGETASSU",#N/A,FALSE,"Merger consequences";"TERMINAL VALUE",#N/A,FALSE,"Merger consequences"}</definedName>
    <definedName name="gfhdgf" localSheetId="3" hidden="1">{"targetdcf",#N/A,FALSE,"Merger consequences";"TARGETASSU",#N/A,FALSE,"Merger consequences";"TERMINAL VALUE",#N/A,FALSE,"Merger consequences"}</definedName>
    <definedName name="gfhdgf" localSheetId="0" hidden="1">{"targetdcf",#N/A,FALSE,"Merger consequences";"TARGETASSU",#N/A,FALSE,"Merger consequences";"TERMINAL VALUE",#N/A,FALSE,"Merger consequences"}</definedName>
    <definedName name="gfhdgf" hidden="1">{"targetdcf",#N/A,FALSE,"Merger consequences";"TARGETASSU",#N/A,FALSE,"Merger consequences";"TERMINAL VALUE",#N/A,FALSE,"Merger consequences"}</definedName>
    <definedName name="GFJDGKCVNCB" localSheetId="1" hidden="1">{#N/A,#N/A,FALSE,"단축1";#N/A,#N/A,FALSE,"단축2";#N/A,#N/A,FALSE,"단축3";#N/A,#N/A,FALSE,"장축";#N/A,#N/A,FALSE,"4WD"}</definedName>
    <definedName name="GFJDGKCVNCB" localSheetId="3" hidden="1">{#N/A,#N/A,FALSE,"단축1";#N/A,#N/A,FALSE,"단축2";#N/A,#N/A,FALSE,"단축3";#N/A,#N/A,FALSE,"장축";#N/A,#N/A,FALSE,"4WD"}</definedName>
    <definedName name="GFJDGKCVNCB" localSheetId="0" hidden="1">{#N/A,#N/A,FALSE,"단축1";#N/A,#N/A,FALSE,"단축2";#N/A,#N/A,FALSE,"단축3";#N/A,#N/A,FALSE,"장축";#N/A,#N/A,FALSE,"4WD"}</definedName>
    <definedName name="GFJDGKCVNCB" hidden="1">{#N/A,#N/A,FALSE,"단축1";#N/A,#N/A,FALSE,"단축2";#N/A,#N/A,FALSE,"단축3";#N/A,#N/A,FALSE,"장축";#N/A,#N/A,FALSE,"4WD"}</definedName>
    <definedName name="gfld" localSheetId="1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localSheetId="0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G" localSheetId="1" hidden="1">{#N/A,#N/A,FALSE,"단축1";#N/A,#N/A,FALSE,"단축2";#N/A,#N/A,FALSE,"단축3";#N/A,#N/A,FALSE,"장축";#N/A,#N/A,FALSE,"4WD"}</definedName>
    <definedName name="GGG" localSheetId="3" hidden="1">{#N/A,#N/A,FALSE,"단축1";#N/A,#N/A,FALSE,"단축2";#N/A,#N/A,FALSE,"단축3";#N/A,#N/A,FALSE,"장축";#N/A,#N/A,FALSE,"4WD"}</definedName>
    <definedName name="GGG" localSheetId="0" hidden="1">{#N/A,#N/A,FALSE,"단축1";#N/A,#N/A,FALSE,"단축2";#N/A,#N/A,FALSE,"단축3";#N/A,#N/A,FALSE,"장축";#N/A,#N/A,FALSE,"4WD"}</definedName>
    <definedName name="GGG" hidden="1">{#N/A,#N/A,FALSE,"단축1";#N/A,#N/A,FALSE,"단축2";#N/A,#N/A,FALSE,"단축3";#N/A,#N/A,FALSE,"장축";#N/A,#N/A,FALSE,"4WD"}</definedName>
    <definedName name="GGGG" localSheetId="1" hidden="1">{#N/A,#N/A,FALSE,"단축1";#N/A,#N/A,FALSE,"단축2";#N/A,#N/A,FALSE,"단축3";#N/A,#N/A,FALSE,"장축";#N/A,#N/A,FALSE,"4WD"}</definedName>
    <definedName name="GGGG" localSheetId="3" hidden="1">{#N/A,#N/A,FALSE,"단축1";#N/A,#N/A,FALSE,"단축2";#N/A,#N/A,FALSE,"단축3";#N/A,#N/A,FALSE,"장축";#N/A,#N/A,FALSE,"4WD"}</definedName>
    <definedName name="GGGG" localSheetId="0" hidden="1">{#N/A,#N/A,FALSE,"단축1";#N/A,#N/A,FALSE,"단축2";#N/A,#N/A,FALSE,"단축3";#N/A,#N/A,FALSE,"장축";#N/A,#N/A,FALSE,"4WD"}</definedName>
    <definedName name="GGGG" hidden="1">{#N/A,#N/A,FALSE,"단축1";#N/A,#N/A,FALSE,"단축2";#N/A,#N/A,FALSE,"단축3";#N/A,#N/A,FALSE,"장축";#N/A,#N/A,FALSE,"4WD"}</definedName>
    <definedName name="GGGGG" localSheetId="1" hidden="1">{#N/A,#N/A,FALSE,"단축1";#N/A,#N/A,FALSE,"단축2";#N/A,#N/A,FALSE,"단축3";#N/A,#N/A,FALSE,"장축";#N/A,#N/A,FALSE,"4WD"}</definedName>
    <definedName name="GGGGG" localSheetId="3" hidden="1">{#N/A,#N/A,FALSE,"단축1";#N/A,#N/A,FALSE,"단축2";#N/A,#N/A,FALSE,"단축3";#N/A,#N/A,FALSE,"장축";#N/A,#N/A,FALSE,"4WD"}</definedName>
    <definedName name="GGGGG" localSheetId="0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gghh" localSheetId="1" hidden="1">{#N/A,#N/A,FALSE,"단축1";#N/A,#N/A,FALSE,"단축2";#N/A,#N/A,FALSE,"단축3";#N/A,#N/A,FALSE,"장축";#N/A,#N/A,FALSE,"4WD"}</definedName>
    <definedName name="ggghh" localSheetId="3" hidden="1">{#N/A,#N/A,FALSE,"단축1";#N/A,#N/A,FALSE,"단축2";#N/A,#N/A,FALSE,"단축3";#N/A,#N/A,FALSE,"장축";#N/A,#N/A,FALSE,"4WD"}</definedName>
    <definedName name="ggghh" localSheetId="0" hidden="1">{#N/A,#N/A,FALSE,"단축1";#N/A,#N/A,FALSE,"단축2";#N/A,#N/A,FALSE,"단축3";#N/A,#N/A,FALSE,"장축";#N/A,#N/A,FALSE,"4WD"}</definedName>
    <definedName name="ggghh" hidden="1">{#N/A,#N/A,FALSE,"단축1";#N/A,#N/A,FALSE,"단축2";#N/A,#N/A,FALSE,"단축3";#N/A,#N/A,FALSE,"장축";#N/A,#N/A,FALSE,"4WD"}</definedName>
    <definedName name="ghhhh" localSheetId="1" hidden="1">{#N/A,#N/A,FALSE,"단축1";#N/A,#N/A,FALSE,"단축2";#N/A,#N/A,FALSE,"단축3";#N/A,#N/A,FALSE,"장축";#N/A,#N/A,FALSE,"4WD"}</definedName>
    <definedName name="ghhhh" localSheetId="3" hidden="1">{#N/A,#N/A,FALSE,"단축1";#N/A,#N/A,FALSE,"단축2";#N/A,#N/A,FALSE,"단축3";#N/A,#N/A,FALSE,"장축";#N/A,#N/A,FALSE,"4WD"}</definedName>
    <definedName name="ghhhh" localSheetId="0" hidden="1">{#N/A,#N/A,FALSE,"단축1";#N/A,#N/A,FALSE,"단축2";#N/A,#N/A,FALSE,"단축3";#N/A,#N/A,FALSE,"장축";#N/A,#N/A,FALSE,"4WD"}</definedName>
    <definedName name="ghhhh" hidden="1">{#N/A,#N/A,FALSE,"단축1";#N/A,#N/A,FALSE,"단축2";#N/A,#N/A,FALSE,"단축3";#N/A,#N/A,FALSE,"장축";#N/A,#N/A,FALSE,"4WD"}</definedName>
    <definedName name="ghjhf" localSheetId="1" hidden="1">{"qchm_dcf",#N/A,FALSE,"QCHMDCF2";"qchm_terminal",#N/A,FALSE,"QCHMDCF2"}</definedName>
    <definedName name="ghjhf" localSheetId="3" hidden="1">{"qchm_dcf",#N/A,FALSE,"QCHMDCF2";"qchm_terminal",#N/A,FALSE,"QCHMDCF2"}</definedName>
    <definedName name="ghjhf" localSheetId="0" hidden="1">{"qchm_dcf",#N/A,FALSE,"QCHMDCF2";"qchm_terminal",#N/A,FALSE,"QCHMDCF2"}</definedName>
    <definedName name="ghjhf" hidden="1">{"qchm_dcf",#N/A,FALSE,"QCHMDCF2";"qchm_terminal",#N/A,FALSE,"QCHMDCF2"}</definedName>
    <definedName name="GHUTGHF" localSheetId="1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localSheetId="0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K" localSheetId="1" hidden="1">{#N/A,#N/A,FALSE,"총괄수정"}</definedName>
    <definedName name="GK" localSheetId="3" hidden="1">{#N/A,#N/A,FALSE,"총괄수정"}</definedName>
    <definedName name="GK" localSheetId="0" hidden="1">{#N/A,#N/A,FALSE,"총괄수정"}</definedName>
    <definedName name="GK" hidden="1">{#N/A,#N/A,FALSE,"총괄수정"}</definedName>
    <definedName name="grhgfhf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gfhf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gfh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rhgfh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UKMSDF" localSheetId="1" hidden="1">{#N/A,#N/A,FALSE,"단축1";#N/A,#N/A,FALSE,"단축2";#N/A,#N/A,FALSE,"단축3";#N/A,#N/A,FALSE,"장축";#N/A,#N/A,FALSE,"4WD"}</definedName>
    <definedName name="GUKMSDF" localSheetId="3" hidden="1">{#N/A,#N/A,FALSE,"단축1";#N/A,#N/A,FALSE,"단축2";#N/A,#N/A,FALSE,"단축3";#N/A,#N/A,FALSE,"장축";#N/A,#N/A,FALSE,"4WD"}</definedName>
    <definedName name="GUKMSDF" localSheetId="0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gun" localSheetId="1" hidden="1">{#N/A,#N/A,FALSE,"단축1";#N/A,#N/A,FALSE,"단축2";#N/A,#N/A,FALSE,"단축3";#N/A,#N/A,FALSE,"장축";#N/A,#N/A,FALSE,"4WD"}</definedName>
    <definedName name="gun" localSheetId="3" hidden="1">{#N/A,#N/A,FALSE,"단축1";#N/A,#N/A,FALSE,"단축2";#N/A,#N/A,FALSE,"단축3";#N/A,#N/A,FALSE,"장축";#N/A,#N/A,FALSE,"4WD"}</definedName>
    <definedName name="gun" localSheetId="0" hidden="1">{#N/A,#N/A,FALSE,"단축1";#N/A,#N/A,FALSE,"단축2";#N/A,#N/A,FALSE,"단축3";#N/A,#N/A,FALSE,"장축";#N/A,#N/A,FALSE,"4WD"}</definedName>
    <definedName name="gun" hidden="1">{#N/A,#N/A,FALSE,"단축1";#N/A,#N/A,FALSE,"단축2";#N/A,#N/A,FALSE,"단축3";#N/A,#N/A,FALSE,"장축";#N/A,#N/A,FALSE,"4WD"}</definedName>
    <definedName name="GZDHN" localSheetId="1" hidden="1">{#N/A,#N/A,FALSE,"단축1";#N/A,#N/A,FALSE,"단축2";#N/A,#N/A,FALSE,"단축3";#N/A,#N/A,FALSE,"장축";#N/A,#N/A,FALSE,"4WD"}</definedName>
    <definedName name="GZDHN" localSheetId="3" hidden="1">{#N/A,#N/A,FALSE,"단축1";#N/A,#N/A,FALSE,"단축2";#N/A,#N/A,FALSE,"단축3";#N/A,#N/A,FALSE,"장축";#N/A,#N/A,FALSE,"4WD"}</definedName>
    <definedName name="GZDHN" localSheetId="0" hidden="1">{#N/A,#N/A,FALSE,"단축1";#N/A,#N/A,FALSE,"단축2";#N/A,#N/A,FALSE,"단축3";#N/A,#N/A,FALSE,"장축";#N/A,#N/A,FALSE,"4WD"}</definedName>
    <definedName name="GZDHN" hidden="1">{#N/A,#N/A,FALSE,"단축1";#N/A,#N/A,FALSE,"단축2";#N/A,#N/A,FALSE,"단축3";#N/A,#N/A,FALSE,"장축";#N/A,#N/A,FALSE,"4WD"}</definedName>
    <definedName name="HFG" localSheetId="1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localSheetId="0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gj" localSheetId="1" hidden="1">{"qchm_dcf",#N/A,FALSE,"QCHMDCF2";"qchm_terminal",#N/A,FALSE,"QCHMDCF2"}</definedName>
    <definedName name="hggj" localSheetId="3" hidden="1">{"qchm_dcf",#N/A,FALSE,"QCHMDCF2";"qchm_terminal",#N/A,FALSE,"QCHMDCF2"}</definedName>
    <definedName name="hggj" localSheetId="0" hidden="1">{"qchm_dcf",#N/A,FALSE,"QCHMDCF2";"qchm_terminal",#N/A,FALSE,"QCHMDCF2"}</definedName>
    <definedName name="hggj" hidden="1">{"qchm_dcf",#N/A,FALSE,"QCHMDCF2";"qchm_terminal",#N/A,FALSE,"QCHMDCF2"}</definedName>
    <definedName name="hghgfgh" localSheetId="1" hidden="1">{"AQUIRORDCF",#N/A,FALSE,"Merger consequences";"Acquirorassns",#N/A,FALSE,"Merger consequences"}</definedName>
    <definedName name="hghgfgh" localSheetId="3" hidden="1">{"AQUIRORDCF",#N/A,FALSE,"Merger consequences";"Acquirorassns",#N/A,FALSE,"Merger consequences"}</definedName>
    <definedName name="hghgfgh" localSheetId="0" hidden="1">{"AQUIRORDCF",#N/A,FALSE,"Merger consequences";"Acquirorassns",#N/A,FALSE,"Merger consequences"}</definedName>
    <definedName name="hghgfgh" hidden="1">{"AQUIRORDCF",#N/A,FALSE,"Merger consequences";"Acquirorassns",#N/A,FALSE,"Merger consequences"}</definedName>
    <definedName name="hgjfgh" localSheetId="1" hidden="1">{"qchm_dcf",#N/A,FALSE,"QCHMDCF2";"qchm_terminal",#N/A,FALSE,"QCHMDCF2"}</definedName>
    <definedName name="hgjfgh" localSheetId="3" hidden="1">{"qchm_dcf",#N/A,FALSE,"QCHMDCF2";"qchm_terminal",#N/A,FALSE,"QCHMDCF2"}</definedName>
    <definedName name="hgjfgh" localSheetId="0" hidden="1">{"qchm_dcf",#N/A,FALSE,"QCHMDCF2";"qchm_terminal",#N/A,FALSE,"QCHMDCF2"}</definedName>
    <definedName name="hgjfgh" hidden="1">{"qchm_dcf",#N/A,FALSE,"QCHMDCF2";"qchm_terminal",#N/A,FALSE,"QCHMDCF2"}</definedName>
    <definedName name="hgjfgjfgh" localSheetId="1" hidden="1">{"qchm_dcf",#N/A,FALSE,"QCHMDCF2";"qchm_terminal",#N/A,FALSE,"QCHMDCF2"}</definedName>
    <definedName name="hgjfgjfgh" localSheetId="3" hidden="1">{"qchm_dcf",#N/A,FALSE,"QCHMDCF2";"qchm_terminal",#N/A,FALSE,"QCHMDCF2"}</definedName>
    <definedName name="hgjfgjfgh" localSheetId="0" hidden="1">{"qchm_dcf",#N/A,FALSE,"QCHMDCF2";"qchm_terminal",#N/A,FALSE,"QCHMDCF2"}</definedName>
    <definedName name="hgjfgjfgh" hidden="1">{"qchm_dcf",#N/A,FALSE,"QCHMDCF2";"qchm_terminal",#N/A,FALSE,"QCHMDCF2"}</definedName>
    <definedName name="hhg" localSheetId="1" hidden="1">{#N/A,#N/A,FALSE,"단축1";#N/A,#N/A,FALSE,"단축2";#N/A,#N/A,FALSE,"단축3";#N/A,#N/A,FALSE,"장축";#N/A,#N/A,FALSE,"4WD"}</definedName>
    <definedName name="hhg" localSheetId="3" hidden="1">{#N/A,#N/A,FALSE,"단축1";#N/A,#N/A,FALSE,"단축2";#N/A,#N/A,FALSE,"단축3";#N/A,#N/A,FALSE,"장축";#N/A,#N/A,FALSE,"4WD"}</definedName>
    <definedName name="hhg" localSheetId="0" hidden="1">{#N/A,#N/A,FALSE,"단축1";#N/A,#N/A,FALSE,"단축2";#N/A,#N/A,FALSE,"단축3";#N/A,#N/A,FALSE,"장축";#N/A,#N/A,FALSE,"4WD"}</definedName>
    <definedName name="hhg" hidden="1">{#N/A,#N/A,FALSE,"단축1";#N/A,#N/A,FALSE,"단축2";#N/A,#N/A,FALSE,"단축3";#N/A,#N/A,FALSE,"장축";#N/A,#N/A,FALSE,"4WD"}</definedName>
    <definedName name="HHHHHHH" localSheetId="1" hidden="1">{#N/A,#N/A,FALSE,"단축1";#N/A,#N/A,FALSE,"단축2";#N/A,#N/A,FALSE,"단축3";#N/A,#N/A,FALSE,"장축";#N/A,#N/A,FALSE,"4WD"}</definedName>
    <definedName name="HHHHHHH" localSheetId="3" hidden="1">{#N/A,#N/A,FALSE,"단축1";#N/A,#N/A,FALSE,"단축2";#N/A,#N/A,FALSE,"단축3";#N/A,#N/A,FALSE,"장축";#N/A,#N/A,FALSE,"4WD"}</definedName>
    <definedName name="HHHHHHH" localSheetId="0" hidden="1">{#N/A,#N/A,FALSE,"단축1";#N/A,#N/A,FALSE,"단축2";#N/A,#N/A,FALSE,"단축3";#N/A,#N/A,FALSE,"장축";#N/A,#N/A,FALSE,"4WD"}</definedName>
    <definedName name="HHHHHHH" hidden="1">{#N/A,#N/A,FALSE,"단축1";#N/A,#N/A,FALSE,"단축2";#N/A,#N/A,FALSE,"단축3";#N/A,#N/A,FALSE,"장축";#N/A,#N/A,FALSE,"4WD"}</definedName>
    <definedName name="HHHHHHVGGFGFG" localSheetId="1" hidden="1">{#N/A,#N/A,FALSE,"단축1";#N/A,#N/A,FALSE,"단축2";#N/A,#N/A,FALSE,"단축3";#N/A,#N/A,FALSE,"장축";#N/A,#N/A,FALSE,"4WD"}</definedName>
    <definedName name="HHHHHHVGGFGFG" localSheetId="3" hidden="1">{#N/A,#N/A,FALSE,"단축1";#N/A,#N/A,FALSE,"단축2";#N/A,#N/A,FALSE,"단축3";#N/A,#N/A,FALSE,"장축";#N/A,#N/A,FALSE,"4WD"}</definedName>
    <definedName name="HHHHHHVGGFGFG" localSheetId="0" hidden="1">{#N/A,#N/A,FALSE,"단축1";#N/A,#N/A,FALSE,"단축2";#N/A,#N/A,FALSE,"단축3";#N/A,#N/A,FALSE,"장축";#N/A,#N/A,FALSE,"4WD"}</definedName>
    <definedName name="HHHHHHVGGFGFG" hidden="1">{#N/A,#N/A,FALSE,"단축1";#N/A,#N/A,FALSE,"단축2";#N/A,#N/A,FALSE,"단축3";#N/A,#N/A,FALSE,"장축";#N/A,#N/A,FALSE,"4WD"}</definedName>
    <definedName name="hj" localSheetId="1" hidden="1">{"targetdcf",#N/A,FALSE,"Merger consequences";"TARGETASSU",#N/A,FALSE,"Merger consequences";"TERMINAL VALUE",#N/A,FALSE,"Merger consequences"}</definedName>
    <definedName name="hj" localSheetId="3" hidden="1">{"targetdcf",#N/A,FALSE,"Merger consequences";"TARGETASSU",#N/A,FALSE,"Merger consequences";"TERMINAL VALUE",#N/A,FALSE,"Merger consequences"}</definedName>
    <definedName name="hj" localSheetId="0" hidden="1">{"targetdcf",#N/A,FALSE,"Merger consequences";"TARGETASSU",#N/A,FALSE,"Merger consequences";"TERMINAL VALUE",#N/A,FALSE,"Merger consequences"}</definedName>
    <definedName name="hj" hidden="1">{"targetdcf",#N/A,FALSE,"Merger consequences";"TARGETASSU",#N/A,FALSE,"Merger consequences";"TERMINAL VALUE",#N/A,FALSE,"Merger consequences"}</definedName>
    <definedName name="hjfdg" localSheetId="1" hidden="1">{"qchm_dcf",#N/A,FALSE,"QCHMDCF2";"qchm_terminal",#N/A,FALSE,"QCHMDCF2"}</definedName>
    <definedName name="hjfdg" localSheetId="3" hidden="1">{"qchm_dcf",#N/A,FALSE,"QCHMDCF2";"qchm_terminal",#N/A,FALSE,"QCHMDCF2"}</definedName>
    <definedName name="hjfdg" localSheetId="0" hidden="1">{"qchm_dcf",#N/A,FALSE,"QCHMDCF2";"qchm_terminal",#N/A,FALSE,"QCHMDCF2"}</definedName>
    <definedName name="hjfdg" hidden="1">{"qchm_dcf",#N/A,FALSE,"QCHMDCF2";"qchm_terminal",#N/A,FALSE,"QCHMDCF2"}</definedName>
    <definedName name="HJJ" localSheetId="1" hidden="1">{#N/A,#N/A,FALSE,"단축1";#N/A,#N/A,FALSE,"단축2";#N/A,#N/A,FALSE,"단축3";#N/A,#N/A,FALSE,"장축";#N/A,#N/A,FALSE,"4WD"}</definedName>
    <definedName name="HJJ" localSheetId="3" hidden="1">{#N/A,#N/A,FALSE,"단축1";#N/A,#N/A,FALSE,"단축2";#N/A,#N/A,FALSE,"단축3";#N/A,#N/A,FALSE,"장축";#N/A,#N/A,FALSE,"4WD"}</definedName>
    <definedName name="HJJ" localSheetId="0" hidden="1">{#N/A,#N/A,FALSE,"단축1";#N/A,#N/A,FALSE,"단축2";#N/A,#N/A,FALSE,"단축3";#N/A,#N/A,FALSE,"장축";#N/A,#N/A,FALSE,"4WD"}</definedName>
    <definedName name="HJJ" hidden="1">{#N/A,#N/A,FALSE,"단축1";#N/A,#N/A,FALSE,"단축2";#N/A,#N/A,FALSE,"단축3";#N/A,#N/A,FALSE,"장축";#N/A,#N/A,FALSE,"4WD"}</definedName>
    <definedName name="hjjf" localSheetId="1" hidden="1">{"AQUIRORDCF",#N/A,FALSE,"Merger consequences";"Acquirorassns",#N/A,FALSE,"Merger consequences"}</definedName>
    <definedName name="hjjf" localSheetId="3" hidden="1">{"AQUIRORDCF",#N/A,FALSE,"Merger consequences";"Acquirorassns",#N/A,FALSE,"Merger consequences"}</definedName>
    <definedName name="hjjf" localSheetId="0" hidden="1">{"AQUIRORDCF",#N/A,FALSE,"Merger consequences";"Acquirorassns",#N/A,FALSE,"Merger consequences"}</definedName>
    <definedName name="hjjf" hidden="1">{"AQUIRORDCF",#N/A,FALSE,"Merger consequences";"Acquirorassns",#N/A,FALSE,"Merger consequences"}</definedName>
    <definedName name="hong" localSheetId="1" hidden="1">{#N/A,#N/A,FALSE,"단축1";#N/A,#N/A,FALSE,"단축2";#N/A,#N/A,FALSE,"단축3";#N/A,#N/A,FALSE,"장축";#N/A,#N/A,FALSE,"4WD"}</definedName>
    <definedName name="hong" localSheetId="3" hidden="1">{#N/A,#N/A,FALSE,"단축1";#N/A,#N/A,FALSE,"단축2";#N/A,#N/A,FALSE,"단축3";#N/A,#N/A,FALSE,"장축";#N/A,#N/A,FALSE,"4WD"}</definedName>
    <definedName name="hong" localSheetId="0" hidden="1">{#N/A,#N/A,FALSE,"단축1";#N/A,#N/A,FALSE,"단축2";#N/A,#N/A,FALSE,"단축3";#N/A,#N/A,FALSE,"장축";#N/A,#N/A,FALSE,"4WD"}</definedName>
    <definedName name="hong" hidden="1">{#N/A,#N/A,FALSE,"단축1";#N/A,#N/A,FALSE,"단축2";#N/A,#N/A,FALSE,"단축3";#N/A,#N/A,FALSE,"장축";#N/A,#N/A,FALSE,"4WD"}</definedName>
    <definedName name="hpv" localSheetId="1" hidden="1">{#N/A,#N/A,FALSE,"단축1";#N/A,#N/A,FALSE,"단축2";#N/A,#N/A,FALSE,"단축3";#N/A,#N/A,FALSE,"장축";#N/A,#N/A,FALSE,"4WD"}</definedName>
    <definedName name="hpv" localSheetId="3" hidden="1">{#N/A,#N/A,FALSE,"단축1";#N/A,#N/A,FALSE,"단축2";#N/A,#N/A,FALSE,"단축3";#N/A,#N/A,FALSE,"장축";#N/A,#N/A,FALSE,"4WD"}</definedName>
    <definedName name="hpv" localSheetId="0" hidden="1">{#N/A,#N/A,FALSE,"단축1";#N/A,#N/A,FALSE,"단축2";#N/A,#N/A,FALSE,"단축3";#N/A,#N/A,FALSE,"장축";#N/A,#N/A,FALSE,"4WD"}</definedName>
    <definedName name="hpv" hidden="1">{#N/A,#N/A,FALSE,"단축1";#N/A,#N/A,FALSE,"단축2";#N/A,#N/A,FALSE,"단축3";#N/A,#N/A,FALSE,"장축";#N/A,#N/A,FALSE,"4WD"}</definedName>
    <definedName name="ht" localSheetId="1" hidden="1">{"'표지'!$B$5"}</definedName>
    <definedName name="ht" localSheetId="3" hidden="1">{"'표지'!$B$5"}</definedName>
    <definedName name="ht" localSheetId="0" hidden="1">{"'표지'!$B$5"}</definedName>
    <definedName name="ht" hidden="1">{"'표지'!$B$5"}</definedName>
    <definedName name="HTML_CodePage" hidden="1">1252</definedName>
    <definedName name="HTML_Control" localSheetId="1" hidden="1">{"'Price List '!$A$1:$R$156"}</definedName>
    <definedName name="HTML_Control" localSheetId="3" hidden="1">{"'Price List '!$A$1:$R$156"}</definedName>
    <definedName name="HTML_Control" localSheetId="0" hidden="1">{"'Price List '!$A$1:$R$156"}</definedName>
    <definedName name="HTML_Control" hidden="1">{"'Price List '!$A$1:$R$156"}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Title" hidden="1">"ePL5_19b"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ntrol2" localSheetId="1" hidden="1">{"'표지'!$B$5"}</definedName>
    <definedName name="htmlControl2" localSheetId="3" hidden="1">{"'표지'!$B$5"}</definedName>
    <definedName name="htmlControl2" localSheetId="0" hidden="1">{"'표지'!$B$5"}</definedName>
    <definedName name="htmlControl2" hidden="1">{"'표지'!$B$5"}</definedName>
    <definedName name="HTMLCount" hidden="1">1</definedName>
    <definedName name="HYU" localSheetId="1" hidden="1">{#N/A,#N/A,FALSE,"유첨3-1";#N/A,#N/A,FALSE,"3-2";#N/A,#N/A,FALSE,"3-3";#N/A,#N/A,FALSE,"3-4";#N/A,#N/A,FALSE,"3-5";#N/A,#N/A,FALSE,"3-6";#N/A,#N/A,FALSE,"3-7";#N/A,#N/A,FALSE,"3-8"}</definedName>
    <definedName name="HYU" localSheetId="3" hidden="1">{#N/A,#N/A,FALSE,"유첨3-1";#N/A,#N/A,FALSE,"3-2";#N/A,#N/A,FALSE,"3-3";#N/A,#N/A,FALSE,"3-4";#N/A,#N/A,FALSE,"3-5";#N/A,#N/A,FALSE,"3-6";#N/A,#N/A,FALSE,"3-7";#N/A,#N/A,FALSE,"3-8"}</definedName>
    <definedName name="HYU" localSheetId="0" hidden="1">{#N/A,#N/A,FALSE,"유첨3-1";#N/A,#N/A,FALSE,"3-2";#N/A,#N/A,FALSE,"3-3";#N/A,#N/A,FALSE,"3-4";#N/A,#N/A,FALSE,"3-5";#N/A,#N/A,FALSE,"3-6";#N/A,#N/A,FALSE,"3-7";#N/A,#N/A,FALSE,"3-8"}</definedName>
    <definedName name="HYU" hidden="1">{#N/A,#N/A,FALSE,"유첨3-1";#N/A,#N/A,FALSE,"3-2";#N/A,#N/A,FALSE,"3-3";#N/A,#N/A,FALSE,"3-4";#N/A,#N/A,FALSE,"3-5";#N/A,#N/A,FALSE,"3-6";#N/A,#N/A,FALSE,"3-7";#N/A,#N/A,FALSE,"3-8"}</definedName>
    <definedName name="ic" localSheetId="1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localSheetId="0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j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j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j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j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jgjgf" localSheetId="1" hidden="1">{"Acq_matrix",#N/A,FALSE,"Acquisition Matrix"}</definedName>
    <definedName name="jgjgf" localSheetId="3" hidden="1">{"Acq_matrix",#N/A,FALSE,"Acquisition Matrix"}</definedName>
    <definedName name="jgjgf" localSheetId="0" hidden="1">{"Acq_matrix",#N/A,FALSE,"Acquisition Matrix"}</definedName>
    <definedName name="jgjgf" hidden="1">{"Acq_matrix",#N/A,FALSE,"Acquisition Matrix"}</definedName>
    <definedName name="JK" localSheetId="1" hidden="1">{#N/A,#N/A,TRUE,"Y생산";#N/A,#N/A,TRUE,"Y판매";#N/A,#N/A,TRUE,"Y총물량";#N/A,#N/A,TRUE,"Y능력";#N/A,#N/A,TRUE,"YKD"}</definedName>
    <definedName name="JK" localSheetId="3" hidden="1">{#N/A,#N/A,TRUE,"Y생산";#N/A,#N/A,TRUE,"Y판매";#N/A,#N/A,TRUE,"Y총물량";#N/A,#N/A,TRUE,"Y능력";#N/A,#N/A,TRUE,"YKD"}</definedName>
    <definedName name="JK" localSheetId="0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hkgh" localSheetId="1" hidden="1">{"targetdcf",#N/A,FALSE,"Merger consequences";"TARGETASSU",#N/A,FALSE,"Merger consequences";"TERMINAL VALUE",#N/A,FALSE,"Merger consequences"}</definedName>
    <definedName name="jkhkgh" localSheetId="3" hidden="1">{"targetdcf",#N/A,FALSE,"Merger consequences";"TARGETASSU",#N/A,FALSE,"Merger consequences";"TERMINAL VALUE",#N/A,FALSE,"Merger consequences"}</definedName>
    <definedName name="jkhkgh" localSheetId="0" hidden="1">{"targetdcf",#N/A,FALSE,"Merger consequences";"TARGETASSU",#N/A,FALSE,"Merger consequences";"TERMINAL VALUE",#N/A,FALSE,"Merger consequences"}</definedName>
    <definedName name="jkhkgh" hidden="1">{"targetdcf",#N/A,FALSE,"Merger consequences";"TARGETASSU",#N/A,FALSE,"Merger consequences";"TERMINAL VALUE",#N/A,FALSE,"Merger consequences"}</definedName>
    <definedName name="JOKM" localSheetId="1" hidden="1">{#N/A,#N/A,FALSE,"단축1";#N/A,#N/A,FALSE,"단축2";#N/A,#N/A,FALSE,"단축3";#N/A,#N/A,FALSE,"장축";#N/A,#N/A,FALSE,"4WD"}</definedName>
    <definedName name="JOKM" localSheetId="3" hidden="1">{#N/A,#N/A,FALSE,"단축1";#N/A,#N/A,FALSE,"단축2";#N/A,#N/A,FALSE,"단축3";#N/A,#N/A,FALSE,"장축";#N/A,#N/A,FALSE,"4WD"}</definedName>
    <definedName name="JOKM" localSheetId="0" hidden="1">{#N/A,#N/A,FALSE,"단축1";#N/A,#N/A,FALSE,"단축2";#N/A,#N/A,FALSE,"단축3";#N/A,#N/A,FALSE,"장축";#N/A,#N/A,FALSE,"4WD"}</definedName>
    <definedName name="JOKM" hidden="1">{#N/A,#N/A,FALSE,"단축1";#N/A,#N/A,FALSE,"단축2";#N/A,#N/A,FALSE,"단축3";#N/A,#N/A,FALSE,"장축";#N/A,#N/A,FALSE,"4WD"}</definedName>
    <definedName name="k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k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k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k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KIM" localSheetId="1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localSheetId="0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lk" localSheetId="3" hidden="1">{#N/A,#N/A,FALSE,"단축1";#N/A,#N/A,FALSE,"단축2";#N/A,#N/A,FALSE,"단축3";#N/A,#N/A,FALSE,"장축";#N/A,#N/A,FALSE,"4WD"}</definedName>
    <definedName name="klk" hidden="1">{#N/A,#N/A,FALSE,"단축1";#N/A,#N/A,FALSE,"단축2";#N/A,#N/A,FALSE,"단축3";#N/A,#N/A,FALSE,"장축";#N/A,#N/A,FALSE,"4WD"}</definedName>
    <definedName name="KLKL" localSheetId="1" hidden="1">{#N/A,#N/A,FALSE,"단축1";#N/A,#N/A,FALSE,"단축2";#N/A,#N/A,FALSE,"단축3";#N/A,#N/A,FALSE,"장축";#N/A,#N/A,FALSE,"4WD"}</definedName>
    <definedName name="KLKL" localSheetId="3" hidden="1">{#N/A,#N/A,FALSE,"단축1";#N/A,#N/A,FALSE,"단축2";#N/A,#N/A,FALSE,"단축3";#N/A,#N/A,FALSE,"장축";#N/A,#N/A,FALSE,"4WD"}</definedName>
    <definedName name="KLKL" localSheetId="0" hidden="1">{#N/A,#N/A,FALSE,"단축1";#N/A,#N/A,FALSE,"단축2";#N/A,#N/A,FALSE,"단축3";#N/A,#N/A,FALSE,"장축";#N/A,#N/A,FALSE,"4WD"}</definedName>
    <definedName name="KLKL" hidden="1">{#N/A,#N/A,FALSE,"단축1";#N/A,#N/A,FALSE,"단축2";#N/A,#N/A,FALSE,"단축3";#N/A,#N/A,FALSE,"장축";#N/A,#N/A,FALSE,"4WD"}</definedName>
    <definedName name="KSW" localSheetId="1" hidden="1">{#N/A,#N/A,FALSE,"단축1";#N/A,#N/A,FALSE,"단축2";#N/A,#N/A,FALSE,"단축3";#N/A,#N/A,FALSE,"장축";#N/A,#N/A,FALSE,"4WD"}</definedName>
    <definedName name="KSW" localSheetId="3" hidden="1">{#N/A,#N/A,FALSE,"단축1";#N/A,#N/A,FALSE,"단축2";#N/A,#N/A,FALSE,"단축3";#N/A,#N/A,FALSE,"장축";#N/A,#N/A,FALSE,"4WD"}</definedName>
    <definedName name="KSW" localSheetId="0" hidden="1">{#N/A,#N/A,FALSE,"단축1";#N/A,#N/A,FALSE,"단축2";#N/A,#N/A,FALSE,"단축3";#N/A,#N/A,FALSE,"장축";#N/A,#N/A,FALSE,"4WD"}</definedName>
    <definedName name="KSW" hidden="1">{#N/A,#N/A,FALSE,"단축1";#N/A,#N/A,FALSE,"단축2";#N/A,#N/A,FALSE,"단축3";#N/A,#N/A,FALSE,"장축";#N/A,#N/A,FALSE,"4WD"}</definedName>
    <definedName name="KU" localSheetId="1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localSheetId="0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l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l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l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L80486SX_25" xml:space="preserve"> [3]COST!#REF!</definedName>
    <definedName name="LAMI일문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LAMI일문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LAMI일문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LAMI일문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LDASKJDH" localSheetId="3">#REF!</definedName>
    <definedName name="LDASKJDH">#REF!</definedName>
    <definedName name="LINE검토2" localSheetId="1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localSheetId="0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djsfl" localSheetId="1" hidden="1">{"'표지'!$B$5"}</definedName>
    <definedName name="lkdjsfl" localSheetId="3" hidden="1">{"'표지'!$B$5"}</definedName>
    <definedName name="lkdjsfl" localSheetId="0" hidden="1">{"'표지'!$B$5"}</definedName>
    <definedName name="lkdjsfl" hidden="1">{"'표지'!$B$5"}</definedName>
    <definedName name="lt" localSheetId="1" hidden="1">{#N/A,#N/A,FALSE,"단축1";#N/A,#N/A,FALSE,"단축2";#N/A,#N/A,FALSE,"단축3";#N/A,#N/A,FALSE,"장축";#N/A,#N/A,FALSE,"4WD"}</definedName>
    <definedName name="lt" localSheetId="3" hidden="1">{#N/A,#N/A,FALSE,"단축1";#N/A,#N/A,FALSE,"단축2";#N/A,#N/A,FALSE,"단축3";#N/A,#N/A,FALSE,"장축";#N/A,#N/A,FALSE,"4WD"}</definedName>
    <definedName name="lt" localSheetId="0" hidden="1">{#N/A,#N/A,FALSE,"단축1";#N/A,#N/A,FALSE,"단축2";#N/A,#N/A,FALSE,"단축3";#N/A,#N/A,FALSE,"장축";#N/A,#N/A,FALSE,"4WD"}</definedName>
    <definedName name="lt" hidden="1">{#N/A,#N/A,FALSE,"단축1";#N/A,#N/A,FALSE,"단축2";#N/A,#N/A,FALSE,"단축3";#N/A,#N/A,FALSE,"장축";#N/A,#N/A,FALSE,"4WD"}</definedName>
    <definedName name="LUP" localSheetId="3" hidden="1">#REF!</definedName>
    <definedName name="LUP" hidden="1">#REF!</definedName>
    <definedName name="MKTMM" localSheetId="3">#REF!</definedName>
    <definedName name="MKTMM">#REF!</definedName>
    <definedName name="MKT등급" localSheetId="3">#REF!</definedName>
    <definedName name="MKT등급">#REF!</definedName>
    <definedName name="MMMMM" localSheetId="1" hidden="1">{#N/A,#N/A,FALSE,"단축1";#N/A,#N/A,FALSE,"단축2";#N/A,#N/A,FALSE,"단축3";#N/A,#N/A,FALSE,"장축";#N/A,#N/A,FALSE,"4WD"}</definedName>
    <definedName name="MMMMM" localSheetId="3" hidden="1">{#N/A,#N/A,FALSE,"단축1";#N/A,#N/A,FALSE,"단축2";#N/A,#N/A,FALSE,"단축3";#N/A,#N/A,FALSE,"장축";#N/A,#N/A,FALSE,"4WD"}</definedName>
    <definedName name="MMMMM" localSheetId="0" hidden="1">{#N/A,#N/A,FALSE,"단축1";#N/A,#N/A,FALSE,"단축2";#N/A,#N/A,FALSE,"단축3";#N/A,#N/A,FALSE,"장축";#N/A,#N/A,FALSE,"4WD"}</definedName>
    <definedName name="MMMMM" hidden="1">{#N/A,#N/A,FALSE,"단축1";#N/A,#N/A,FALSE,"단축2";#N/A,#N/A,FALSE,"단축3";#N/A,#N/A,FALSE,"장축";#N/A,#N/A,FALSE,"4WD"}</definedName>
    <definedName name="MONTH">#N/A</definedName>
    <definedName name="NNL" localSheetId="1" hidden="1">{#N/A,#N/A,FALSE,"단축1";#N/A,#N/A,FALSE,"단축2";#N/A,#N/A,FALSE,"단축3";#N/A,#N/A,FALSE,"장축";#N/A,#N/A,FALSE,"4WD"}</definedName>
    <definedName name="NNL" localSheetId="3" hidden="1">{#N/A,#N/A,FALSE,"단축1";#N/A,#N/A,FALSE,"단축2";#N/A,#N/A,FALSE,"단축3";#N/A,#N/A,FALSE,"장축";#N/A,#N/A,FALSE,"4WD"}</definedName>
    <definedName name="NNL" localSheetId="0" hidden="1">{#N/A,#N/A,FALSE,"단축1";#N/A,#N/A,FALSE,"단축2";#N/A,#N/A,FALSE,"단축3";#N/A,#N/A,FALSE,"장축";#N/A,#N/A,FALSE,"4WD"}</definedName>
    <definedName name="NNL" hidden="1">{#N/A,#N/A,FALSE,"단축1";#N/A,#N/A,FALSE,"단축2";#N/A,#N/A,FALSE,"단축3";#N/A,#N/A,FALSE,"장축";#N/A,#N/A,FALSE,"4WD"}</definedName>
    <definedName name="NOTE" localSheetId="1" hidden="1">{#N/A,#N/A,FALSE,"단축1";#N/A,#N/A,FALSE,"단축2";#N/A,#N/A,FALSE,"단축3";#N/A,#N/A,FALSE,"장축";#N/A,#N/A,FALSE,"4WD"}</definedName>
    <definedName name="NOTE" localSheetId="3" hidden="1">{#N/A,#N/A,FALSE,"단축1";#N/A,#N/A,FALSE,"단축2";#N/A,#N/A,FALSE,"단축3";#N/A,#N/A,FALSE,"장축";#N/A,#N/A,FALSE,"4WD"}</definedName>
    <definedName name="NOTE" localSheetId="0" hidden="1">{#N/A,#N/A,FALSE,"단축1";#N/A,#N/A,FALSE,"단축2";#N/A,#N/A,FALSE,"단축3";#N/A,#N/A,FALSE,"장축";#N/A,#N/A,FALSE,"4WD"}</definedName>
    <definedName name="NOTE" hidden="1">{#N/A,#N/A,FALSE,"단축1";#N/A,#N/A,FALSE,"단축2";#N/A,#N/A,FALSE,"단축3";#N/A,#N/A,FALSE,"장축";#N/A,#N/A,FALSE,"4WD"}</definedName>
    <definedName name="NW" localSheetId="1" hidden="1">{#N/A,#N/A,FALSE,"단축1";#N/A,#N/A,FALSE,"단축2";#N/A,#N/A,FALSE,"단축3";#N/A,#N/A,FALSE,"장축";#N/A,#N/A,FALSE,"4WD"}</definedName>
    <definedName name="NW" localSheetId="3" hidden="1">{#N/A,#N/A,FALSE,"단축1";#N/A,#N/A,FALSE,"단축2";#N/A,#N/A,FALSE,"단축3";#N/A,#N/A,FALSE,"장축";#N/A,#N/A,FALSE,"4WD"}</definedName>
    <definedName name="NW" localSheetId="0" hidden="1">{#N/A,#N/A,FALSE,"단축1";#N/A,#N/A,FALSE,"단축2";#N/A,#N/A,FALSE,"단축3";#N/A,#N/A,FALSE,"장축";#N/A,#N/A,FALSE,"4WD"}</definedName>
    <definedName name="NW" hidden="1">{#N/A,#N/A,FALSE,"단축1";#N/A,#N/A,FALSE,"단축2";#N/A,#N/A,FALSE,"단축3";#N/A,#N/A,FALSE,"장축";#N/A,#N/A,FALSE,"4WD"}</definedName>
    <definedName name="P3가공향상" localSheetId="1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localSheetId="0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RK" localSheetId="1" hidden="1">{#N/A,#N/A,FALSE,"단축1";#N/A,#N/A,FALSE,"단축2";#N/A,#N/A,FALSE,"단축3";#N/A,#N/A,FALSE,"장축";#N/A,#N/A,FALSE,"4WD"}</definedName>
    <definedName name="PARK" localSheetId="3" hidden="1">{#N/A,#N/A,FALSE,"단축1";#N/A,#N/A,FALSE,"단축2";#N/A,#N/A,FALSE,"단축3";#N/A,#N/A,FALSE,"장축";#N/A,#N/A,FALSE,"4WD"}</definedName>
    <definedName name="PARK" localSheetId="0" hidden="1">{#N/A,#N/A,FALSE,"단축1";#N/A,#N/A,FALSE,"단축2";#N/A,#N/A,FALSE,"단축3";#N/A,#N/A,FALSE,"장축";#N/A,#N/A,FALSE,"4WD"}</definedName>
    <definedName name="PARK" hidden="1">{#N/A,#N/A,FALSE,"단축1";#N/A,#N/A,FALSE,"단축2";#N/A,#N/A,FALSE,"단축3";#N/A,#N/A,FALSE,"장축";#N/A,#N/A,FALSE,"4WD"}</definedName>
    <definedName name="PI" localSheetId="1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localSheetId="0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PK" localSheetId="1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localSheetId="0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1" hidden="1">{#N/A,#N/A,FALSE,"단축1";#N/A,#N/A,FALSE,"단축2";#N/A,#N/A,FALSE,"단축3";#N/A,#N/A,FALSE,"장축";#N/A,#N/A,FALSE,"4WD"}</definedName>
    <definedName name="PPPP" localSheetId="3" hidden="1">{#N/A,#N/A,FALSE,"단축1";#N/A,#N/A,FALSE,"단축2";#N/A,#N/A,FALSE,"단축3";#N/A,#N/A,FALSE,"장축";#N/A,#N/A,FALSE,"4WD"}</definedName>
    <definedName name="PPPP" localSheetId="0" hidden="1">{#N/A,#N/A,FALSE,"단축1";#N/A,#N/A,FALSE,"단축2";#N/A,#N/A,FALSE,"단축3";#N/A,#N/A,FALSE,"장축";#N/A,#N/A,FALSE,"4WD"}</definedName>
    <definedName name="PPPP" hidden="1">{#N/A,#N/A,FALSE,"단축1";#N/A,#N/A,FALSE,"단축2";#N/A,#N/A,FALSE,"단축3";#N/A,#N/A,FALSE,"장축";#N/A,#N/A,FALSE,"4WD"}</definedName>
    <definedName name="PPPPPP" localSheetId="1" hidden="1">{#N/A,#N/A,FALSE,"총괄수정"}</definedName>
    <definedName name="PPPPPP" localSheetId="3" hidden="1">{#N/A,#N/A,FALSE,"총괄수정"}</definedName>
    <definedName name="PPPPPP" localSheetId="0" hidden="1">{#N/A,#N/A,FALSE,"총괄수정"}</definedName>
    <definedName name="PPPPPP" hidden="1">{#N/A,#N/A,FALSE,"총괄수정"}</definedName>
    <definedName name="ppr" localSheetId="1" hidden="1">{#N/A,#N/A,FALSE,"단축1";#N/A,#N/A,FALSE,"단축2";#N/A,#N/A,FALSE,"단축3";#N/A,#N/A,FALSE,"장축";#N/A,#N/A,FALSE,"4WD"}</definedName>
    <definedName name="ppr" localSheetId="3" hidden="1">{#N/A,#N/A,FALSE,"단축1";#N/A,#N/A,FALSE,"단축2";#N/A,#N/A,FALSE,"단축3";#N/A,#N/A,FALSE,"장축";#N/A,#N/A,FALSE,"4WD"}</definedName>
    <definedName name="ppr" localSheetId="0" hidden="1">{#N/A,#N/A,FALSE,"단축1";#N/A,#N/A,FALSE,"단축2";#N/A,#N/A,FALSE,"단축3";#N/A,#N/A,FALSE,"장축";#N/A,#N/A,FALSE,"4WD"}</definedName>
    <definedName name="ppr" hidden="1">{#N/A,#N/A,FALSE,"단축1";#N/A,#N/A,FALSE,"단축2";#N/A,#N/A,FALSE,"단축3";#N/A,#N/A,FALSE,"장축";#N/A,#N/A,FALSE,"4WD"}</definedName>
    <definedName name="PRICE">[3]COST!#REF!</definedName>
    <definedName name="_xlnm.Print_Area" localSheetId="1">'Amaranth 10 Cloud 견적서'!$A$1:$Q$176</definedName>
    <definedName name="_xlnm.Print_Area" localSheetId="3">#REF!</definedName>
    <definedName name="_xlnm.Print_Area">#REF!</definedName>
    <definedName name="_xlnm.Print_Titles">#N/A</definedName>
    <definedName name="PROTO2" localSheetId="1" hidden="1">{#N/A,#N/A,FALSE,"단축1";#N/A,#N/A,FALSE,"단축2";#N/A,#N/A,FALSE,"단축3";#N/A,#N/A,FALSE,"장축";#N/A,#N/A,FALSE,"4WD"}</definedName>
    <definedName name="PROTO2" localSheetId="3" hidden="1">{#N/A,#N/A,FALSE,"단축1";#N/A,#N/A,FALSE,"단축2";#N/A,#N/A,FALSE,"단축3";#N/A,#N/A,FALSE,"장축";#N/A,#N/A,FALSE,"4WD"}</definedName>
    <definedName name="PROTO2" localSheetId="0" hidden="1">{#N/A,#N/A,FALSE,"단축1";#N/A,#N/A,FALSE,"단축2";#N/A,#N/A,FALSE,"단축3";#N/A,#N/A,FALSE,"장축";#N/A,#N/A,FALSE,"4WD"}</definedName>
    <definedName name="PROTO2" hidden="1">{#N/A,#N/A,FALSE,"단축1";#N/A,#N/A,FALSE,"단축2";#N/A,#N/A,FALSE,"단축3";#N/A,#N/A,FALSE,"장축";#N/A,#N/A,FALSE,"4WD"}</definedName>
    <definedName name="PROTO3" localSheetId="1" hidden="1">{#N/A,#N/A,FALSE,"단축1";#N/A,#N/A,FALSE,"단축2";#N/A,#N/A,FALSE,"단축3";#N/A,#N/A,FALSE,"장축";#N/A,#N/A,FALSE,"4WD"}</definedName>
    <definedName name="PROTO3" localSheetId="3" hidden="1">{#N/A,#N/A,FALSE,"단축1";#N/A,#N/A,FALSE,"단축2";#N/A,#N/A,FALSE,"단축3";#N/A,#N/A,FALSE,"장축";#N/A,#N/A,FALSE,"4WD"}</definedName>
    <definedName name="PROTO3" localSheetId="0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sy" localSheetId="1" hidden="1">{#N/A,#N/A,FALSE,"총괄수정"}</definedName>
    <definedName name="psy" localSheetId="3" hidden="1">{#N/A,#N/A,FALSE,"총괄수정"}</definedName>
    <definedName name="psy" localSheetId="0" hidden="1">{#N/A,#N/A,FALSE,"총괄수정"}</definedName>
    <definedName name="psy" hidden="1">{#N/A,#N/A,FALSE,"총괄수정"}</definedName>
    <definedName name="QAZ" localSheetId="1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localSheetId="0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QQAAASSS" localSheetId="1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localSheetId="0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Q" localSheetId="1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localSheetId="0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R" localSheetId="3">#REF!</definedName>
    <definedName name="QR">#REF!</definedName>
    <definedName name="QW" localSheetId="1" hidden="1">{#N/A,#N/A,FALSE,"단축1";#N/A,#N/A,FALSE,"단축2";#N/A,#N/A,FALSE,"단축3";#N/A,#N/A,FALSE,"장축";#N/A,#N/A,FALSE,"4WD"}</definedName>
    <definedName name="QW" localSheetId="3" hidden="1">{#N/A,#N/A,FALSE,"단축1";#N/A,#N/A,FALSE,"단축2";#N/A,#N/A,FALSE,"단축3";#N/A,#N/A,FALSE,"장축";#N/A,#N/A,FALSE,"4WD"}</definedName>
    <definedName name="QW" localSheetId="0" hidden="1">{#N/A,#N/A,FALSE,"단축1";#N/A,#N/A,FALSE,"단축2";#N/A,#N/A,FALSE,"단축3";#N/A,#N/A,FALSE,"장축";#N/A,#N/A,FALSE,"4WD"}</definedName>
    <definedName name="QW" hidden="1">{#N/A,#N/A,FALSE,"단축1";#N/A,#N/A,FALSE,"단축2";#N/A,#N/A,FALSE,"단축3";#N/A,#N/A,FALSE,"장축";#N/A,#N/A,FALSE,"4WD"}</definedName>
    <definedName name="QWE" localSheetId="1" hidden="1">{#N/A,#N/A,FALSE,"단축1";#N/A,#N/A,FALSE,"단축2";#N/A,#N/A,FALSE,"단축3";#N/A,#N/A,FALSE,"장축";#N/A,#N/A,FALSE,"4WD"}</definedName>
    <definedName name="QWE" localSheetId="3" hidden="1">{#N/A,#N/A,FALSE,"단축1";#N/A,#N/A,FALSE,"단축2";#N/A,#N/A,FALSE,"단축3";#N/A,#N/A,FALSE,"장축";#N/A,#N/A,FALSE,"4WD"}</definedName>
    <definedName name="QWE" localSheetId="0" hidden="1">{#N/A,#N/A,FALSE,"단축1";#N/A,#N/A,FALSE,"단축2";#N/A,#N/A,FALSE,"단축3";#N/A,#N/A,FALSE,"장축";#N/A,#N/A,FALSE,"4WD"}</definedName>
    <definedName name="QWE" hidden="1">{#N/A,#N/A,FALSE,"단축1";#N/A,#N/A,FALSE,"단축2";#N/A,#N/A,FALSE,"단축3";#N/A,#N/A,FALSE,"장축";#N/A,#N/A,FALSE,"4WD"}</definedName>
    <definedName name="QWER" localSheetId="1" hidden="1">{#N/A,#N/A,FALSE,"단축1";#N/A,#N/A,FALSE,"단축2";#N/A,#N/A,FALSE,"단축3";#N/A,#N/A,FALSE,"장축";#N/A,#N/A,FALSE,"4WD"}</definedName>
    <definedName name="QWER" localSheetId="3" hidden="1">{#N/A,#N/A,FALSE,"단축1";#N/A,#N/A,FALSE,"단축2";#N/A,#N/A,FALSE,"단축3";#N/A,#N/A,FALSE,"장축";#N/A,#N/A,FALSE,"4WD"}</definedName>
    <definedName name="QWER" localSheetId="0" hidden="1">{#N/A,#N/A,FALSE,"단축1";#N/A,#N/A,FALSE,"단축2";#N/A,#N/A,FALSE,"단축3";#N/A,#N/A,FALSE,"장축";#N/A,#N/A,FALSE,"4WD"}</definedName>
    <definedName name="QWER" hidden="1">{#N/A,#N/A,FALSE,"단축1";#N/A,#N/A,FALSE,"단축2";#N/A,#N/A,FALSE,"단축3";#N/A,#N/A,FALSE,"장축";#N/A,#N/A,FALSE,"4WD"}</definedName>
    <definedName name="R_COVER" localSheetId="1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GSDG" localSheetId="1" hidden="1">{#N/A,#N/A,FALSE,"단축1";#N/A,#N/A,FALSE,"단축2";#N/A,#N/A,FALSE,"단축3";#N/A,#N/A,FALSE,"장축";#N/A,#N/A,FALSE,"4WD"}</definedName>
    <definedName name="RGSDG" localSheetId="3" hidden="1">{#N/A,#N/A,FALSE,"단축1";#N/A,#N/A,FALSE,"단축2";#N/A,#N/A,FALSE,"단축3";#N/A,#N/A,FALSE,"장축";#N/A,#N/A,FALSE,"4WD"}</definedName>
    <definedName name="RGSDG" localSheetId="0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OTJSRHKWJD1" localSheetId="1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localSheetId="0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th" localSheetId="1" hidden="1">{"'표지'!$B$5"}</definedName>
    <definedName name="rth" localSheetId="3" hidden="1">{"'표지'!$B$5"}</definedName>
    <definedName name="rth" localSheetId="0" hidden="1">{"'표지'!$B$5"}</definedName>
    <definedName name="rth" hidden="1">{"'표지'!$B$5"}</definedName>
    <definedName name="SADF" localSheetId="1" hidden="1">{#N/A,#N/A,FALSE,"단축1";#N/A,#N/A,FALSE,"단축2";#N/A,#N/A,FALSE,"단축3";#N/A,#N/A,FALSE,"장축";#N/A,#N/A,FALSE,"4WD"}</definedName>
    <definedName name="SADF" localSheetId="3" hidden="1">{#N/A,#N/A,FALSE,"단축1";#N/A,#N/A,FALSE,"단축2";#N/A,#N/A,FALSE,"단축3";#N/A,#N/A,FALSE,"장축";#N/A,#N/A,FALSE,"4WD"}</definedName>
    <definedName name="SADF" localSheetId="0" hidden="1">{#N/A,#N/A,FALSE,"단축1";#N/A,#N/A,FALSE,"단축2";#N/A,#N/A,FALSE,"단축3";#N/A,#N/A,FALSE,"장축";#N/A,#N/A,FALSE,"4WD"}</definedName>
    <definedName name="SADF" hidden="1">{#N/A,#N/A,FALSE,"단축1";#N/A,#N/A,FALSE,"단축2";#N/A,#N/A,FALSE,"단축3";#N/A,#N/A,FALSE,"장축";#N/A,#N/A,FALSE,"4WD"}</definedName>
    <definedName name="SAS" localSheetId="1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localSheetId="0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daf" localSheetId="1" hidden="1">{"targetdcf",#N/A,FALSE,"Merger consequences";"TARGETASSU",#N/A,FALSE,"Merger consequences";"TERMINAL VALUE",#N/A,FALSE,"Merger consequences"}</definedName>
    <definedName name="sdaf" localSheetId="3" hidden="1">{"targetdcf",#N/A,FALSE,"Merger consequences";"TARGETASSU",#N/A,FALSE,"Merger consequences";"TERMINAL VALUE",#N/A,FALSE,"Merger consequences"}</definedName>
    <definedName name="sdaf" localSheetId="0" hidden="1">{"targetdcf",#N/A,FALSE,"Merger consequences";"TARGETASSU",#N/A,FALSE,"Merger consequences";"TERMINAL VALUE",#N/A,FALSE,"Merger consequences"}</definedName>
    <definedName name="sdaf" hidden="1">{"targetdcf",#N/A,FALSE,"Merger consequences";"TARGETASSU",#N/A,FALSE,"Merger consequences";"TERMINAL VALUE",#N/A,FALSE,"Merger consequences"}</definedName>
    <definedName name="sdf" localSheetId="1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sdf" localSheetId="3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sdf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sdf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sdfg" localSheetId="1" hidden="1">{"AQUIRORDCF",#N/A,FALSE,"Merger consequences";"Acquirorassns",#N/A,FALSE,"Merger consequences"}</definedName>
    <definedName name="sdfg" localSheetId="3" hidden="1">{"AQUIRORDCF",#N/A,FALSE,"Merger consequences";"Acquirorassns",#N/A,FALSE,"Merger consequences"}</definedName>
    <definedName name="sdfg" localSheetId="0" hidden="1">{"AQUIRORDCF",#N/A,FALSE,"Merger consequences";"Acquirorassns",#N/A,FALSE,"Merger consequences"}</definedName>
    <definedName name="sdfg" hidden="1">{"AQUIRORDCF",#N/A,FALSE,"Merger consequences";"Acquirorassns",#N/A,FALSE,"Merger consequences"}</definedName>
    <definedName name="sdfgdsfh" localSheetId="1" hidden="1">{"targetdcf",#N/A,FALSE,"Merger consequences";"TARGETASSU",#N/A,FALSE,"Merger consequences";"TERMINAL VALUE",#N/A,FALSE,"Merger consequences"}</definedName>
    <definedName name="sdfgdsfh" localSheetId="3" hidden="1">{"targetdcf",#N/A,FALSE,"Merger consequences";"TARGETASSU",#N/A,FALSE,"Merger consequences";"TERMINAL VALUE",#N/A,FALSE,"Merger consequences"}</definedName>
    <definedName name="sdfgdsfh" localSheetId="0" hidden="1">{"targetdcf",#N/A,FALSE,"Merger consequences";"TARGETASSU",#N/A,FALSE,"Merger consequences";"TERMINAL VALUE",#N/A,FALSE,"Merger consequences"}</definedName>
    <definedName name="sdfgdsfh" hidden="1">{"targetdcf",#N/A,FALSE,"Merger consequences";"TARGETASSU",#N/A,FALSE,"Merger consequences";"TERMINAL VALUE",#N/A,FALSE,"Merger consequences"}</definedName>
    <definedName name="sdfggsdf" localSheetId="1" hidden="1">{"targetdcf",#N/A,FALSE,"Merger consequences";"TARGETASSU",#N/A,FALSE,"Merger consequences";"TERMINAL VALUE",#N/A,FALSE,"Merger consequences"}</definedName>
    <definedName name="sdfggsdf" localSheetId="3" hidden="1">{"targetdcf",#N/A,FALSE,"Merger consequences";"TARGETASSU",#N/A,FALSE,"Merger consequences";"TERMINAL VALUE",#N/A,FALSE,"Merger consequences"}</definedName>
    <definedName name="sdfggsdf" localSheetId="0" hidden="1">{"targetdcf",#N/A,FALSE,"Merger consequences";"TARGETASSU",#N/A,FALSE,"Merger consequences";"TERMINAL VALUE",#N/A,FALSE,"Merger consequences"}</definedName>
    <definedName name="sdfggsdf" hidden="1">{"targetdcf",#N/A,FALSE,"Merger consequences";"TARGETASSU",#N/A,FALSE,"Merger consequences";"TERMINAL VALUE",#N/A,FALSE,"Merger consequences"}</definedName>
    <definedName name="sdfgss" localSheetId="1" hidden="1">{"qchm_dcf",#N/A,FALSE,"QCHMDCF2";"qchm_terminal",#N/A,FALSE,"QCHMDCF2"}</definedName>
    <definedName name="sdfgss" localSheetId="3" hidden="1">{"qchm_dcf",#N/A,FALSE,"QCHMDCF2";"qchm_terminal",#N/A,FALSE,"QCHMDCF2"}</definedName>
    <definedName name="sdfgss" localSheetId="0" hidden="1">{"qchm_dcf",#N/A,FALSE,"QCHMDCF2";"qchm_terminal",#N/A,FALSE,"QCHMDCF2"}</definedName>
    <definedName name="sdfgss" hidden="1">{"qchm_dcf",#N/A,FALSE,"QCHMDCF2";"qchm_terminal",#N/A,FALSE,"QCHMDCF2"}</definedName>
    <definedName name="SDFL" localSheetId="1" hidden="1">{#N/A,#N/A,FALSE,"단축1";#N/A,#N/A,FALSE,"단축2";#N/A,#N/A,FALSE,"단축3";#N/A,#N/A,FALSE,"장축";#N/A,#N/A,FALSE,"4WD"}</definedName>
    <definedName name="SDFL" localSheetId="3" hidden="1">{#N/A,#N/A,FALSE,"단축1";#N/A,#N/A,FALSE,"단축2";#N/A,#N/A,FALSE,"단축3";#N/A,#N/A,FALSE,"장축";#N/A,#N/A,FALSE,"4WD"}</definedName>
    <definedName name="SDFL" localSheetId="0" hidden="1">{#N/A,#N/A,FALSE,"단축1";#N/A,#N/A,FALSE,"단축2";#N/A,#N/A,FALSE,"단축3";#N/A,#N/A,FALSE,"장축";#N/A,#N/A,FALSE,"4WD"}</definedName>
    <definedName name="SDFL" hidden="1">{#N/A,#N/A,FALSE,"단축1";#N/A,#N/A,FALSE,"단축2";#N/A,#N/A,FALSE,"단축3";#N/A,#N/A,FALSE,"장축";#N/A,#N/A,FALSE,"4WD"}</definedName>
    <definedName name="SDFLL" localSheetId="1" hidden="1">{#N/A,#N/A,FALSE,"단축1";#N/A,#N/A,FALSE,"단축2";#N/A,#N/A,FALSE,"단축3";#N/A,#N/A,FALSE,"장축";#N/A,#N/A,FALSE,"4WD"}</definedName>
    <definedName name="SDFLL" localSheetId="3" hidden="1">{#N/A,#N/A,FALSE,"단축1";#N/A,#N/A,FALSE,"단축2";#N/A,#N/A,FALSE,"단축3";#N/A,#N/A,FALSE,"장축";#N/A,#N/A,FALSE,"4WD"}</definedName>
    <definedName name="SDFLL" localSheetId="0" hidden="1">{#N/A,#N/A,FALSE,"단축1";#N/A,#N/A,FALSE,"단축2";#N/A,#N/A,FALSE,"단축3";#N/A,#N/A,FALSE,"장축";#N/A,#N/A,FALSE,"4WD"}</definedName>
    <definedName name="SDFLL" hidden="1">{#N/A,#N/A,FALSE,"단축1";#N/A,#N/A,FALSE,"단축2";#N/A,#N/A,FALSE,"단축3";#N/A,#N/A,FALSE,"장축";#N/A,#N/A,FALSE,"4WD"}</definedName>
    <definedName name="SDFLLLLLL" localSheetId="1" hidden="1">{#N/A,#N/A,FALSE,"단축1";#N/A,#N/A,FALSE,"단축2";#N/A,#N/A,FALSE,"단축3";#N/A,#N/A,FALSE,"장축";#N/A,#N/A,FALSE,"4WD"}</definedName>
    <definedName name="SDFLLLLLL" localSheetId="3" hidden="1">{#N/A,#N/A,FALSE,"단축1";#N/A,#N/A,FALSE,"단축2";#N/A,#N/A,FALSE,"단축3";#N/A,#N/A,FALSE,"장축";#N/A,#N/A,FALSE,"4WD"}</definedName>
    <definedName name="SDFLLLLLL" localSheetId="0" hidden="1">{#N/A,#N/A,FALSE,"단축1";#N/A,#N/A,FALSE,"단축2";#N/A,#N/A,FALSE,"단축3";#N/A,#N/A,FALSE,"장축";#N/A,#N/A,FALSE,"4WD"}</definedName>
    <definedName name="SDFLLLLLL" hidden="1">{#N/A,#N/A,FALSE,"단축1";#N/A,#N/A,FALSE,"단축2";#N/A,#N/A,FALSE,"단축3";#N/A,#N/A,FALSE,"장축";#N/A,#N/A,FALSE,"4WD"}</definedName>
    <definedName name="SDFLLSD" localSheetId="1" hidden="1">{#N/A,#N/A,FALSE,"단축1";#N/A,#N/A,FALSE,"단축2";#N/A,#N/A,FALSE,"단축3";#N/A,#N/A,FALSE,"장축";#N/A,#N/A,FALSE,"4WD"}</definedName>
    <definedName name="SDFLLSD" localSheetId="3" hidden="1">{#N/A,#N/A,FALSE,"단축1";#N/A,#N/A,FALSE,"단축2";#N/A,#N/A,FALSE,"단축3";#N/A,#N/A,FALSE,"장축";#N/A,#N/A,FALSE,"4WD"}</definedName>
    <definedName name="SDFLLSD" localSheetId="0" hidden="1">{#N/A,#N/A,FALSE,"단축1";#N/A,#N/A,FALSE,"단축2";#N/A,#N/A,FALSE,"단축3";#N/A,#N/A,FALSE,"장축";#N/A,#N/A,FALSE,"4WD"}</definedName>
    <definedName name="SDFLLSD" hidden="1">{#N/A,#N/A,FALSE,"단축1";#N/A,#N/A,FALSE,"단축2";#N/A,#N/A,FALSE,"단축3";#N/A,#N/A,FALSE,"장축";#N/A,#N/A,FALSE,"4WD"}</definedName>
    <definedName name="sdgggag" localSheetId="1" hidden="1">{"targetdcf",#N/A,FALSE,"Merger consequences";"TARGETASSU",#N/A,FALSE,"Merger consequences";"TERMINAL VALUE",#N/A,FALSE,"Merger consequences"}</definedName>
    <definedName name="sdgggag" localSheetId="3" hidden="1">{"targetdcf",#N/A,FALSE,"Merger consequences";"TARGETASSU",#N/A,FALSE,"Merger consequences";"TERMINAL VALUE",#N/A,FALSE,"Merger consequences"}</definedName>
    <definedName name="sdgggag" localSheetId="0" hidden="1">{"targetdcf",#N/A,FALSE,"Merger consequences";"TARGETASSU",#N/A,FALSE,"Merger consequences";"TERMINAL VALUE",#N/A,FALSE,"Merger consequences"}</definedName>
    <definedName name="sdgggag" hidden="1">{"targetdcf",#N/A,FALSE,"Merger consequences";"TARGETASSU",#N/A,FALSE,"Merger consequences";"TERMINAL VALUE",#N/A,FALSE,"Merger consequences"}</definedName>
    <definedName name="SDSDSD" localSheetId="1" hidden="1">{#N/A,#N/A,FALSE,"단축1";#N/A,#N/A,FALSE,"단축2";#N/A,#N/A,FALSE,"단축3";#N/A,#N/A,FALSE,"장축";#N/A,#N/A,FALSE,"4WD"}</definedName>
    <definedName name="SDSDSD" localSheetId="3" hidden="1">{#N/A,#N/A,FALSE,"단축1";#N/A,#N/A,FALSE,"단축2";#N/A,#N/A,FALSE,"단축3";#N/A,#N/A,FALSE,"장축";#N/A,#N/A,FALSE,"4WD"}</definedName>
    <definedName name="SDSDSD" localSheetId="0" hidden="1">{#N/A,#N/A,FALSE,"단축1";#N/A,#N/A,FALSE,"단축2";#N/A,#N/A,FALSE,"단축3";#N/A,#N/A,FALSE,"장축";#N/A,#N/A,FALSE,"4WD"}</definedName>
    <definedName name="SDSDSD" hidden="1">{#N/A,#N/A,FALSE,"단축1";#N/A,#N/A,FALSE,"단축2";#N/A,#N/A,FALSE,"단축3";#N/A,#N/A,FALSE,"장축";#N/A,#N/A,FALSE,"4WD"}</definedName>
    <definedName name="SF" localSheetId="1" hidden="1">{#N/A,#N/A,FALSE,"단축1";#N/A,#N/A,FALSE,"단축2";#N/A,#N/A,FALSE,"단축3";#N/A,#N/A,FALSE,"장축";#N/A,#N/A,FALSE,"4WD"}</definedName>
    <definedName name="SF" localSheetId="3" hidden="1">{#N/A,#N/A,FALSE,"단축1";#N/A,#N/A,FALSE,"단축2";#N/A,#N/A,FALSE,"단축3";#N/A,#N/A,FALSE,"장축";#N/A,#N/A,FALSE,"4WD"}</definedName>
    <definedName name="SF" localSheetId="0" hidden="1">{#N/A,#N/A,FALSE,"단축1";#N/A,#N/A,FALSE,"단축2";#N/A,#N/A,FALSE,"단축3";#N/A,#N/A,FALSE,"장축";#N/A,#N/A,FALSE,"4WD"}</definedName>
    <definedName name="SF" hidden="1">{#N/A,#N/A,FALSE,"단축1";#N/A,#N/A,FALSE,"단축2";#N/A,#N/A,FALSE,"단축3";#N/A,#N/A,FALSE,"장축";#N/A,#N/A,FALSE,"4WD"}</definedName>
    <definedName name="sfd" localSheetId="1" hidden="1">{"AQUIRORDCF",#N/A,FALSE,"Merger consequences";"Acquirorassns",#N/A,FALSE,"Merger consequences"}</definedName>
    <definedName name="sfd" localSheetId="3" hidden="1">{"AQUIRORDCF",#N/A,FALSE,"Merger consequences";"Acquirorassns",#N/A,FALSE,"Merger consequences"}</definedName>
    <definedName name="sfd" localSheetId="0" hidden="1">{"AQUIRORDCF",#N/A,FALSE,"Merger consequences";"Acquirorassns",#N/A,FALSE,"Merger consequences"}</definedName>
    <definedName name="sfd" hidden="1">{"AQUIRORDCF",#N/A,FALSE,"Merger consequences";"Acquirorassns",#N/A,FALSE,"Merger consequences"}</definedName>
    <definedName name="sfdgddd" localSheetId="1" hidden="1">{"Acq_matrix",#N/A,FALSE,"Acquisition Matrix"}</definedName>
    <definedName name="sfdgddd" localSheetId="3" hidden="1">{"Acq_matrix",#N/A,FALSE,"Acquisition Matrix"}</definedName>
    <definedName name="sfdgddd" localSheetId="0" hidden="1">{"Acq_matrix",#N/A,FALSE,"Acquisition Matrix"}</definedName>
    <definedName name="sfdgddd" hidden="1">{"Acq_matrix",#N/A,FALSE,"Acquisition Matrix"}</definedName>
    <definedName name="sfdgggsdf" localSheetId="1" hidden="1">{"qchm_dcf",#N/A,FALSE,"QCHMDCF2";"qchm_terminal",#N/A,FALSE,"QCHMDCF2"}</definedName>
    <definedName name="sfdgggsdf" localSheetId="3" hidden="1">{"qchm_dcf",#N/A,FALSE,"QCHMDCF2";"qchm_terminal",#N/A,FALSE,"QCHMDCF2"}</definedName>
    <definedName name="sfdgggsdf" localSheetId="0" hidden="1">{"qchm_dcf",#N/A,FALSE,"QCHMDCF2";"qchm_terminal",#N/A,FALSE,"QCHMDCF2"}</definedName>
    <definedName name="sfdgggsdf" hidden="1">{"qchm_dcf",#N/A,FALSE,"QCHMDCF2";"qchm_terminal",#N/A,FALSE,"QCHMDCF2"}</definedName>
    <definedName name="SFG" localSheetId="1" hidden="1">{#N/A,#N/A,FALSE,"단축1";#N/A,#N/A,FALSE,"단축2";#N/A,#N/A,FALSE,"단축3";#N/A,#N/A,FALSE,"장축";#N/A,#N/A,FALSE,"4WD"}</definedName>
    <definedName name="SFG" localSheetId="3" hidden="1">{#N/A,#N/A,FALSE,"단축1";#N/A,#N/A,FALSE,"단축2";#N/A,#N/A,FALSE,"단축3";#N/A,#N/A,FALSE,"장축";#N/A,#N/A,FALSE,"4WD"}</definedName>
    <definedName name="SFG" localSheetId="0" hidden="1">{#N/A,#N/A,FALSE,"단축1";#N/A,#N/A,FALSE,"단축2";#N/A,#N/A,FALSE,"단축3";#N/A,#N/A,FALSE,"장축";#N/A,#N/A,FALSE,"4WD"}</definedName>
    <definedName name="SFG" hidden="1">{#N/A,#N/A,FALSE,"단축1";#N/A,#N/A,FALSE,"단축2";#N/A,#N/A,FALSE,"단축3";#N/A,#N/A,FALSE,"장축";#N/A,#N/A,FALSE,"4WD"}</definedName>
    <definedName name="SFSFSF" localSheetId="1" hidden="1">{#N/A,#N/A,FALSE,"단축1";#N/A,#N/A,FALSE,"단축2";#N/A,#N/A,FALSE,"단축3";#N/A,#N/A,FALSE,"장축";#N/A,#N/A,FALSE,"4WD"}</definedName>
    <definedName name="SFSFSF" localSheetId="3" hidden="1">{#N/A,#N/A,FALSE,"단축1";#N/A,#N/A,FALSE,"단축2";#N/A,#N/A,FALSE,"단축3";#N/A,#N/A,FALSE,"장축";#N/A,#N/A,FALSE,"4WD"}</definedName>
    <definedName name="SFSFSF" localSheetId="0" hidden="1">{#N/A,#N/A,FALSE,"단축1";#N/A,#N/A,FALSE,"단축2";#N/A,#N/A,FALSE,"단축3";#N/A,#N/A,FALSE,"장축";#N/A,#N/A,FALSE,"4WD"}</definedName>
    <definedName name="SFSFSF" hidden="1">{#N/A,#N/A,FALSE,"단축1";#N/A,#N/A,FALSE,"단축2";#N/A,#N/A,FALSE,"단축3";#N/A,#N/A,FALSE,"장축";#N/A,#N/A,FALSE,"4WD"}</definedName>
    <definedName name="sgfdh" localSheetId="1" hidden="1">{"targetdcf",#N/A,FALSE,"Merger consequences";"TARGETASSU",#N/A,FALSE,"Merger consequences";"TERMINAL VALUE",#N/A,FALSE,"Merger consequences"}</definedName>
    <definedName name="sgfdh" localSheetId="3" hidden="1">{"targetdcf",#N/A,FALSE,"Merger consequences";"TARGETASSU",#N/A,FALSE,"Merger consequences";"TERMINAL VALUE",#N/A,FALSE,"Merger consequences"}</definedName>
    <definedName name="sgfdh" localSheetId="0" hidden="1">{"targetdcf",#N/A,FALSE,"Merger consequences";"TARGETASSU",#N/A,FALSE,"Merger consequences";"TERMINAL VALUE",#N/A,FALSE,"Merger consequences"}</definedName>
    <definedName name="sgfdh" hidden="1">{"targetdcf",#N/A,FALSE,"Merger consequences";"TARGETASSU",#N/A,FALSE,"Merger consequences";"TERMINAL VALUE",#N/A,FALSE,"Merger consequences"}</definedName>
    <definedName name="SHI" localSheetId="1" hidden="1">{#N/A,#N/A,FALSE,"단축1";#N/A,#N/A,FALSE,"단축2";#N/A,#N/A,FALSE,"단축3";#N/A,#N/A,FALSE,"장축";#N/A,#N/A,FALSE,"4WD"}</definedName>
    <definedName name="SHI" localSheetId="3" hidden="1">{#N/A,#N/A,FALSE,"단축1";#N/A,#N/A,FALSE,"단축2";#N/A,#N/A,FALSE,"단축3";#N/A,#N/A,FALSE,"장축";#N/A,#N/A,FALSE,"4WD"}</definedName>
    <definedName name="SHI" localSheetId="0" hidden="1">{#N/A,#N/A,FALSE,"단축1";#N/A,#N/A,FALSE,"단축2";#N/A,#N/A,FALSE,"단축3";#N/A,#N/A,FALSE,"장축";#N/A,#N/A,FALSE,"4WD"}</definedName>
    <definedName name="SHI" hidden="1">{#N/A,#N/A,FALSE,"단축1";#N/A,#N/A,FALSE,"단축2";#N/A,#N/A,FALSE,"단축3";#N/A,#N/A,FALSE,"장축";#N/A,#N/A,FALSE,"4WD"}</definedName>
    <definedName name="sht" localSheetId="1" hidden="1">{#N/A,#N/A,FALSE,"단축1";#N/A,#N/A,FALSE,"단축2";#N/A,#N/A,FALSE,"단축3";#N/A,#N/A,FALSE,"장축";#N/A,#N/A,FALSE,"4WD"}</definedName>
    <definedName name="sht" localSheetId="3" hidden="1">{#N/A,#N/A,FALSE,"단축1";#N/A,#N/A,FALSE,"단축2";#N/A,#N/A,FALSE,"단축3";#N/A,#N/A,FALSE,"장축";#N/A,#N/A,FALSE,"4WD"}</definedName>
    <definedName name="sht" localSheetId="0" hidden="1">{#N/A,#N/A,FALSE,"단축1";#N/A,#N/A,FALSE,"단축2";#N/A,#N/A,FALSE,"단축3";#N/A,#N/A,FALSE,"장축";#N/A,#N/A,FALSE,"4WD"}</definedName>
    <definedName name="sht" hidden="1">{#N/A,#N/A,FALSE,"단축1";#N/A,#N/A,FALSE,"단축2";#N/A,#N/A,FALSE,"단축3";#N/A,#N/A,FALSE,"장축";#N/A,#N/A,FALSE,"4WD"}</definedName>
    <definedName name="SIDE" localSheetId="1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localSheetId="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SDD" localSheetId="1" hidden="1">{#N/A,#N/A,FALSE,"단축1";#N/A,#N/A,FALSE,"단축2";#N/A,#N/A,FALSE,"단축3";#N/A,#N/A,FALSE,"장축";#N/A,#N/A,FALSE,"4WD"}</definedName>
    <definedName name="SSDD" localSheetId="3" hidden="1">{#N/A,#N/A,FALSE,"단축1";#N/A,#N/A,FALSE,"단축2";#N/A,#N/A,FALSE,"단축3";#N/A,#N/A,FALSE,"장축";#N/A,#N/A,FALSE,"4WD"}</definedName>
    <definedName name="SSDD" localSheetId="0" hidden="1">{#N/A,#N/A,FALSE,"단축1";#N/A,#N/A,FALSE,"단축2";#N/A,#N/A,FALSE,"단축3";#N/A,#N/A,FALSE,"장축";#N/A,#N/A,FALSE,"4WD"}</definedName>
    <definedName name="SSDD" hidden="1">{#N/A,#N/A,FALSE,"단축1";#N/A,#N/A,FALSE,"단축2";#N/A,#N/A,FALSE,"단축3";#N/A,#N/A,FALSE,"장축";#N/A,#N/A,FALSE,"4WD"}</definedName>
    <definedName name="sss" localSheetId="1" hidden="1">'[7]#REF'!#REF!</definedName>
    <definedName name="sss" hidden="1">'[7]#REF'!#REF!</definedName>
    <definedName name="T8D_ULEV1" localSheetId="1" hidden="1">{#N/A,#N/A,FALSE,"단축1";#N/A,#N/A,FALSE,"단축2";#N/A,#N/A,FALSE,"단축3";#N/A,#N/A,FALSE,"장축";#N/A,#N/A,FALSE,"4WD"}</definedName>
    <definedName name="T8D_ULEV1" localSheetId="3" hidden="1">{#N/A,#N/A,FALSE,"단축1";#N/A,#N/A,FALSE,"단축2";#N/A,#N/A,FALSE,"단축3";#N/A,#N/A,FALSE,"장축";#N/A,#N/A,FALSE,"4WD"}</definedName>
    <definedName name="T8D_ULEV1" localSheetId="0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8D_ULEV2" localSheetId="1" hidden="1">{#N/A,#N/A,FALSE,"단축1";#N/A,#N/A,FALSE,"단축2";#N/A,#N/A,FALSE,"단축3";#N/A,#N/A,FALSE,"장축";#N/A,#N/A,FALSE,"4WD"}</definedName>
    <definedName name="T8D_ULEV2" localSheetId="3" hidden="1">{#N/A,#N/A,FALSE,"단축1";#N/A,#N/A,FALSE,"단축2";#N/A,#N/A,FALSE,"단축3";#N/A,#N/A,FALSE,"장축";#N/A,#N/A,FALSE,"4WD"}</definedName>
    <definedName name="T8D_ULEV2" localSheetId="0" hidden="1">{#N/A,#N/A,FALSE,"단축1";#N/A,#N/A,FALSE,"단축2";#N/A,#N/A,FALSE,"단축3";#N/A,#N/A,FALSE,"장축";#N/A,#N/A,FALSE,"4WD"}</definedName>
    <definedName name="T8D_ULEV2" hidden="1">{#N/A,#N/A,FALSE,"단축1";#N/A,#N/A,FALSE,"단축2";#N/A,#N/A,FALSE,"단축3";#N/A,#N/A,FALSE,"장축";#N/A,#N/A,FALSE,"4WD"}</definedName>
    <definedName name="tc" localSheetId="1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localSheetId="0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1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localSheetId="0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c" localSheetId="1" hidden="1">{#N/A,#N/A,FALSE,"단축1";#N/A,#N/A,FALSE,"단축2";#N/A,#N/A,FALSE,"단축3";#N/A,#N/A,FALSE,"장축";#N/A,#N/A,FALSE,"4WD"}</definedName>
    <definedName name="tdc" localSheetId="3" hidden="1">{#N/A,#N/A,FALSE,"단축1";#N/A,#N/A,FALSE,"단축2";#N/A,#N/A,FALSE,"단축3";#N/A,#N/A,FALSE,"장축";#N/A,#N/A,FALSE,"4WD"}</definedName>
    <definedName name="tdc" localSheetId="0" hidden="1">{#N/A,#N/A,FALSE,"단축1";#N/A,#N/A,FALSE,"단축2";#N/A,#N/A,FALSE,"단축3";#N/A,#N/A,FALSE,"장축";#N/A,#N/A,FALSE,"4WD"}</definedName>
    <definedName name="tdc" hidden="1">{#N/A,#N/A,FALSE,"단축1";#N/A,#N/A,FALSE,"단축2";#N/A,#N/A,FALSE,"단축3";#N/A,#N/A,FALSE,"장축";#N/A,#N/A,FALSE,"4WD"}</definedName>
    <definedName name="test" localSheetId="1" hidden="1">{#N/A,#N/A,FALSE,"단축1";#N/A,#N/A,FALSE,"단축2";#N/A,#N/A,FALSE,"단축3";#N/A,#N/A,FALSE,"장축";#N/A,#N/A,FALSE,"4WD"}</definedName>
    <definedName name="test" localSheetId="3" hidden="1">{#N/A,#N/A,FALSE,"단축1";#N/A,#N/A,FALSE,"단축2";#N/A,#N/A,FALSE,"단축3";#N/A,#N/A,FALSE,"장축";#N/A,#N/A,FALSE,"4WD"}</definedName>
    <definedName name="test" localSheetId="0" hidden="1">{#N/A,#N/A,FALSE,"단축1";#N/A,#N/A,FALSE,"단축2";#N/A,#N/A,FALSE,"단축3";#N/A,#N/A,FALSE,"장축";#N/A,#N/A,FALSE,"4WD"}</definedName>
    <definedName name="test" hidden="1">{#N/A,#N/A,FALSE,"단축1";#N/A,#N/A,FALSE,"단축2";#N/A,#N/A,FALSE,"단축3";#N/A,#N/A,FALSE,"장축";#N/A,#N/A,FALSE,"4WD"}</definedName>
    <definedName name="test1" localSheetId="1" hidden="1">{#N/A,#N/A,FALSE,"단축1";#N/A,#N/A,FALSE,"단축2";#N/A,#N/A,FALSE,"단축3";#N/A,#N/A,FALSE,"장축";#N/A,#N/A,FALSE,"4WD"}</definedName>
    <definedName name="test1" localSheetId="3" hidden="1">{#N/A,#N/A,FALSE,"단축1";#N/A,#N/A,FALSE,"단축2";#N/A,#N/A,FALSE,"단축3";#N/A,#N/A,FALSE,"장축";#N/A,#N/A,FALSE,"4WD"}</definedName>
    <definedName name="test1" localSheetId="0" hidden="1">{#N/A,#N/A,FALSE,"단축1";#N/A,#N/A,FALSE,"단축2";#N/A,#N/A,FALSE,"단축3";#N/A,#N/A,FALSE,"장축";#N/A,#N/A,FALSE,"4WD"}</definedName>
    <definedName name="test1" hidden="1">{#N/A,#N/A,FALSE,"단축1";#N/A,#N/A,FALSE,"단축2";#N/A,#N/A,FALSE,"단축3";#N/A,#N/A,FALSE,"장축";#N/A,#N/A,FALSE,"4WD"}</definedName>
    <definedName name="th" localSheetId="1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localSheetId="0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1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localSheetId="0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j" localSheetId="1" hidden="1">{#N/A,#N/A,FALSE,"단축1";#N/A,#N/A,FALSE,"단축2";#N/A,#N/A,FALSE,"단축3";#N/A,#N/A,FALSE,"장축";#N/A,#N/A,FALSE,"4WD"}</definedName>
    <definedName name="tj" localSheetId="3" hidden="1">{#N/A,#N/A,FALSE,"단축1";#N/A,#N/A,FALSE,"단축2";#N/A,#N/A,FALSE,"단축3";#N/A,#N/A,FALSE,"장축";#N/A,#N/A,FALSE,"4WD"}</definedName>
    <definedName name="tj" localSheetId="0" hidden="1">{#N/A,#N/A,FALSE,"단축1";#N/A,#N/A,FALSE,"단축2";#N/A,#N/A,FALSE,"단축3";#N/A,#N/A,FALSE,"장축";#N/A,#N/A,FALSE,"4WD"}</definedName>
    <definedName name="tj" hidden="1">{#N/A,#N/A,FALSE,"단축1";#N/A,#N/A,FALSE,"단축2";#N/A,#N/A,FALSE,"단축3";#N/A,#N/A,FALSE,"장축";#N/A,#N/A,FALSE,"4WD"}</definedName>
    <definedName name="TRIM별COST2" localSheetId="1" hidden="1">{#N/A,#N/A,FALSE,"단축1";#N/A,#N/A,FALSE,"단축2";#N/A,#N/A,FALSE,"단축3";#N/A,#N/A,FALSE,"장축";#N/A,#N/A,FALSE,"4WD"}</definedName>
    <definedName name="TRIM별COST2" localSheetId="3" hidden="1">{#N/A,#N/A,FALSE,"단축1";#N/A,#N/A,FALSE,"단축2";#N/A,#N/A,FALSE,"단축3";#N/A,#N/A,FALSE,"장축";#N/A,#N/A,FALSE,"4WD"}</definedName>
    <definedName name="TRIM별COST2" localSheetId="0" hidden="1">{#N/A,#N/A,FALSE,"단축1";#N/A,#N/A,FALSE,"단축2";#N/A,#N/A,FALSE,"단축3";#N/A,#N/A,FALSE,"장축";#N/A,#N/A,FALSE,"4WD"}</definedName>
    <definedName name="TRIM별COST2" hidden="1">{#N/A,#N/A,FALSE,"단축1";#N/A,#N/A,FALSE,"단축2";#N/A,#N/A,FALSE,"단축3";#N/A,#N/A,FALSE,"장축";#N/A,#N/A,FALSE,"4WD"}</definedName>
    <definedName name="ttttcd" localSheetId="1" hidden="1">{#N/A,#N/A,FALSE,"단축1";#N/A,#N/A,FALSE,"단축2";#N/A,#N/A,FALSE,"단축3";#N/A,#N/A,FALSE,"장축";#N/A,#N/A,FALSE,"4WD"}</definedName>
    <definedName name="ttttcd" localSheetId="3" hidden="1">{#N/A,#N/A,FALSE,"단축1";#N/A,#N/A,FALSE,"단축2";#N/A,#N/A,FALSE,"단축3";#N/A,#N/A,FALSE,"장축";#N/A,#N/A,FALSE,"4WD"}</definedName>
    <definedName name="ttttcd" localSheetId="0" hidden="1">{#N/A,#N/A,FALSE,"단축1";#N/A,#N/A,FALSE,"단축2";#N/A,#N/A,FALSE,"단축3";#N/A,#N/A,FALSE,"장축";#N/A,#N/A,FALSE,"4WD"}</definedName>
    <definedName name="ttttcd" hidden="1">{#N/A,#N/A,FALSE,"단축1";#N/A,#N/A,FALSE,"단축2";#N/A,#N/A,FALSE,"단축3";#N/A,#N/A,FALSE,"장축";#N/A,#N/A,FALSE,"4WD"}</definedName>
    <definedName name="TYU" localSheetId="1" hidden="1">{#N/A,#N/A,FALSE,"단축1";#N/A,#N/A,FALSE,"단축2";#N/A,#N/A,FALSE,"단축3";#N/A,#N/A,FALSE,"장축";#N/A,#N/A,FALSE,"4WD"}</definedName>
    <definedName name="TYU" localSheetId="3" hidden="1">{#N/A,#N/A,FALSE,"단축1";#N/A,#N/A,FALSE,"단축2";#N/A,#N/A,FALSE,"단축3";#N/A,#N/A,FALSE,"장축";#N/A,#N/A,FALSE,"4WD"}</definedName>
    <definedName name="TYU" localSheetId="0" hidden="1">{#N/A,#N/A,FALSE,"단축1";#N/A,#N/A,FALSE,"단축2";#N/A,#N/A,FALSE,"단축3";#N/A,#N/A,FALSE,"장축";#N/A,#N/A,FALSE,"4WD"}</definedName>
    <definedName name="TYU" hidden="1">{#N/A,#N/A,FALSE,"단축1";#N/A,#N/A,FALSE,"단축2";#N/A,#N/A,FALSE,"단축3";#N/A,#N/A,FALSE,"장축";#N/A,#N/A,FALSE,"4WD"}</definedName>
    <definedName name="u" localSheetId="3" hidden="1">{"Acq_matrix",#N/A,FALSE,"Acquisition Matrix"}</definedName>
    <definedName name="u" hidden="1">{"Acq_matrix",#N/A,FALSE,"Acquisition Matrix"}</definedName>
    <definedName name="UB" localSheetId="3" hidden="1">#REF!</definedName>
    <definedName name="UB" hidden="1">#REF!</definedName>
    <definedName name="UKFL" localSheetId="1" hidden="1">{#N/A,#N/A,FALSE,"단축1";#N/A,#N/A,FALSE,"단축2";#N/A,#N/A,FALSE,"단축3";#N/A,#N/A,FALSE,"장축";#N/A,#N/A,FALSE,"4WD"}</definedName>
    <definedName name="UKFL" localSheetId="3" hidden="1">{#N/A,#N/A,FALSE,"단축1";#N/A,#N/A,FALSE,"단축2";#N/A,#N/A,FALSE,"단축3";#N/A,#N/A,FALSE,"장축";#N/A,#N/A,FALSE,"4WD"}</definedName>
    <definedName name="UKFL" localSheetId="0" hidden="1">{#N/A,#N/A,FALSE,"단축1";#N/A,#N/A,FALSE,"단축2";#N/A,#N/A,FALSE,"단축3";#N/A,#N/A,FALSE,"장축";#N/A,#N/A,FALSE,"4WD"}</definedName>
    <definedName name="UKFL" hidden="1">{#N/A,#N/A,FALSE,"단축1";#N/A,#N/A,FALSE,"단축2";#N/A,#N/A,FALSE,"단축3";#N/A,#N/A,FALSE,"장축";#N/A,#N/A,FALSE,"4WD"}</definedName>
    <definedName name="US">[3]COST!$P$2</definedName>
    <definedName name="VNADNL" localSheetId="1" hidden="1">{#N/A,#N/A,FALSE,"단축1";#N/A,#N/A,FALSE,"단축2";#N/A,#N/A,FALSE,"단축3";#N/A,#N/A,FALSE,"장축";#N/A,#N/A,FALSE,"4WD"}</definedName>
    <definedName name="VNADNL" localSheetId="3" hidden="1">{#N/A,#N/A,FALSE,"단축1";#N/A,#N/A,FALSE,"단축2";#N/A,#N/A,FALSE,"단축3";#N/A,#N/A,FALSE,"장축";#N/A,#N/A,FALSE,"4WD"}</definedName>
    <definedName name="VNADNL" localSheetId="0" hidden="1">{#N/A,#N/A,FALSE,"단축1";#N/A,#N/A,FALSE,"단축2";#N/A,#N/A,FALSE,"단축3";#N/A,#N/A,FALSE,"장축";#N/A,#N/A,FALSE,"4WD"}</definedName>
    <definedName name="VNADNL" hidden="1">{#N/A,#N/A,FALSE,"단축1";#N/A,#N/A,FALSE,"단축2";#N/A,#N/A,FALSE,"단축3";#N/A,#N/A,FALSE,"장축";#N/A,#N/A,FALSE,"4WD"}</definedName>
    <definedName name="WAQEFQ" localSheetId="1" hidden="1">{#N/A,#N/A,FALSE,"단축1";#N/A,#N/A,FALSE,"단축2";#N/A,#N/A,FALSE,"단축3";#N/A,#N/A,FALSE,"장축";#N/A,#N/A,FALSE,"4WD"}</definedName>
    <definedName name="WAQEFQ" localSheetId="3" hidden="1">{#N/A,#N/A,FALSE,"단축1";#N/A,#N/A,FALSE,"단축2";#N/A,#N/A,FALSE,"단축3";#N/A,#N/A,FALSE,"장축";#N/A,#N/A,FALSE,"4WD"}</definedName>
    <definedName name="WAQEFQ" localSheetId="0" hidden="1">{#N/A,#N/A,FALSE,"단축1";#N/A,#N/A,FALSE,"단축2";#N/A,#N/A,FALSE,"단축3";#N/A,#N/A,FALSE,"장축";#N/A,#N/A,FALSE,"4WD"}</definedName>
    <definedName name="WAQEFQ" hidden="1">{#N/A,#N/A,FALSE,"단축1";#N/A,#N/A,FALSE,"단축2";#N/A,#N/A,FALSE,"단축3";#N/A,#N/A,FALSE,"장축";#N/A,#N/A,FALSE,"4WD"}</definedName>
    <definedName name="WEARF" localSheetId="1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localSheetId="0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FRWE" localSheetId="1" hidden="1">{#N/A,#N/A,FALSE,"단축1";#N/A,#N/A,FALSE,"단축2";#N/A,#N/A,FALSE,"단축3";#N/A,#N/A,FALSE,"장축";#N/A,#N/A,FALSE,"4WD"}</definedName>
    <definedName name="WEFRWE" localSheetId="3" hidden="1">{#N/A,#N/A,FALSE,"단축1";#N/A,#N/A,FALSE,"단축2";#N/A,#N/A,FALSE,"단축3";#N/A,#N/A,FALSE,"장축";#N/A,#N/A,FALSE,"4WD"}</definedName>
    <definedName name="WEFRWE" localSheetId="0" hidden="1">{#N/A,#N/A,FALSE,"단축1";#N/A,#N/A,FALSE,"단축2";#N/A,#N/A,FALSE,"단축3";#N/A,#N/A,FALSE,"장축";#N/A,#N/A,FALSE,"4WD"}</definedName>
    <definedName name="WEFRWE" hidden="1">{#N/A,#N/A,FALSE,"단축1";#N/A,#N/A,FALSE,"단축2";#N/A,#N/A,FALSE,"단축3";#N/A,#N/A,FALSE,"장축";#N/A,#N/A,FALSE,"4WD"}</definedName>
    <definedName name="wjsdnr" localSheetId="1" hidden="1">{#N/A,#N/A,FALSE,"단축1";#N/A,#N/A,FALSE,"단축2";#N/A,#N/A,FALSE,"단축3";#N/A,#N/A,FALSE,"장축";#N/A,#N/A,FALSE,"4WD"}</definedName>
    <definedName name="wjsdnr" localSheetId="3" hidden="1">{#N/A,#N/A,FALSE,"단축1";#N/A,#N/A,FALSE,"단축2";#N/A,#N/A,FALSE,"단축3";#N/A,#N/A,FALSE,"장축";#N/A,#N/A,FALSE,"4WD"}</definedName>
    <definedName name="wjsdnr" localSheetId="0" hidden="1">{#N/A,#N/A,FALSE,"단축1";#N/A,#N/A,FALSE,"단축2";#N/A,#N/A,FALSE,"단축3";#N/A,#N/A,FALSE,"장축";#N/A,#N/A,FALSE,"4WD"}</definedName>
    <definedName name="wjsdnr" hidden="1">{#N/A,#N/A,FALSE,"단축1";#N/A,#N/A,FALSE,"단축2";#N/A,#N/A,FALSE,"단축3";#N/A,#N/A,FALSE,"장축";#N/A,#N/A,FALSE,"4WD"}</definedName>
    <definedName name="wkworhgk" localSheetId="1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localSheetId="0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1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localSheetId="0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p" localSheetId="1" hidden="1">{"targetdcf",#N/A,FALSE,"Merger consequences";"TARGETASSU",#N/A,FALSE,"Merger consequences";"TERMINAL VALUE",#N/A,FALSE,"Merger consequences"}</definedName>
    <definedName name="wp" localSheetId="3" hidden="1">{"targetdcf",#N/A,FALSE,"Merger consequences";"TARGETASSU",#N/A,FALSE,"Merger consequences";"TERMINAL VALUE",#N/A,FALSE,"Merger consequences"}</definedName>
    <definedName name="wp" localSheetId="0" hidden="1">{"targetdcf",#N/A,FALSE,"Merger consequences";"TARGETASSU",#N/A,FALSE,"Merger consequences";"TERMINAL VALUE",#N/A,FALSE,"Merger consequences"}</definedName>
    <definedName name="wp" hidden="1">{"targetdcf",#N/A,FALSE,"Merger consequences";"TARGETASSU",#N/A,FALSE,"Merger consequences";"TERMINAL VALUE",#N/A,FALSE,"Merger consequences"}</definedName>
    <definedName name="wrn.3_4분기._.양식.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wrn.3_4분기._.양식.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wrn.3_4분기._.양식.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wrn.3_4분기._.양식.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wrn.345." localSheetId="1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localSheetId="0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8.4월" localSheetId="1" hidden="1">{#N/A,#N/A,FALSE,"표지";#N/A,#N/A,FALSE,"1.손익현황";#N/A,#N/A,FALSE,"첨1.손익분석";#N/A,#N/A,FALSE,"2.재무재표";#N/A,#N/A,FALSE,"3.자금현황";#N/A,#N/A,FALSE,"4.생산판매"}</definedName>
    <definedName name="wrn.98.4월" localSheetId="3" hidden="1">{#N/A,#N/A,FALSE,"표지";#N/A,#N/A,FALSE,"1.손익현황";#N/A,#N/A,FALSE,"첨1.손익분석";#N/A,#N/A,FALSE,"2.재무재표";#N/A,#N/A,FALSE,"3.자금현황";#N/A,#N/A,FALSE,"4.생산판매"}</definedName>
    <definedName name="wrn.98.4월" localSheetId="0" hidden="1">{#N/A,#N/A,FALSE,"표지";#N/A,#N/A,FALSE,"1.손익현황";#N/A,#N/A,FALSE,"첨1.손익분석";#N/A,#N/A,FALSE,"2.재무재표";#N/A,#N/A,FALSE,"3.자금현황";#N/A,#N/A,FALSE,"4.생산판매"}</definedName>
    <definedName name="wrn.98.4월" hidden="1">{#N/A,#N/A,FALSE,"표지";#N/A,#N/A,FALSE,"1.손익현황";#N/A,#N/A,FALSE,"첨1.손익분석";#N/A,#N/A,FALSE,"2.재무재표";#N/A,#N/A,FALSE,"3.자금현황";#N/A,#N/A,FALSE,"4.생산판매"}</definedName>
    <definedName name="wrn.98.4월보고." localSheetId="1" hidden="1">{#N/A,#N/A,FALSE,"표지";#N/A,#N/A,FALSE,"1.손익현황";#N/A,#N/A,FALSE,"첨1.손익분석";#N/A,#N/A,FALSE,"2.재무재표";#N/A,#N/A,FALSE,"3.자금현황";#N/A,#N/A,FALSE,"4.생산판매"}</definedName>
    <definedName name="wrn.98.4월보고." localSheetId="3" hidden="1">{#N/A,#N/A,FALSE,"표지";#N/A,#N/A,FALSE,"1.손익현황";#N/A,#N/A,FALSE,"첨1.손익분석";#N/A,#N/A,FALSE,"2.재무재표";#N/A,#N/A,FALSE,"3.자금현황";#N/A,#N/A,FALSE,"4.생산판매"}</definedName>
    <definedName name="wrn.98.4월보고." localSheetId="0" hidden="1">{#N/A,#N/A,FALSE,"표지";#N/A,#N/A,FALSE,"1.손익현황";#N/A,#N/A,FALSE,"첨1.손익분석";#N/A,#N/A,FALSE,"2.재무재표";#N/A,#N/A,FALSE,"3.자금현황";#N/A,#N/A,FALSE,"4.생산판매"}</definedName>
    <definedName name="wrn.98.4월보고." hidden="1">{#N/A,#N/A,FALSE,"표지";#N/A,#N/A,FALSE,"1.손익현황";#N/A,#N/A,FALSE,"첨1.손익분석";#N/A,#N/A,FALSE,"2.재무재표";#N/A,#N/A,FALSE,"3.자금현황";#N/A,#N/A,FALSE,"4.생산판매"}</definedName>
    <definedName name="wrn.99경영계획양식." localSheetId="1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99경영계획양식." localSheetId="3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99경영계획양식." localSheetId="0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AA." localSheetId="1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wrn.AAAA." localSheetId="3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wrn.AAAA." localSheetId="0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wrn.AAAA.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wrn.Acquisition_matrix." localSheetId="1" hidden="1">{"Acq_matrix",#N/A,FALSE,"Acquisition Matrix"}</definedName>
    <definedName name="wrn.Acquisition_matrix." localSheetId="3" hidden="1">{"Acq_matrix",#N/A,FALSE,"Acquisition Matrix"}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QUIROR._.DCF." localSheetId="1" hidden="1">{"AQUIRORDCF",#N/A,FALSE,"Merger consequences";"Acquirorassns",#N/A,FALSE,"Merger consequences"}</definedName>
    <definedName name="wrn.AQUIROR._.DCF." localSheetId="3" hidden="1">{"AQUIRORDCF",#N/A,FALSE,"Merger consequences";"Acquirorassns",#N/A,FALSE,"Merger consequences"}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BBBB." localSheetId="1" hidden="1">{#N/A,#N/A,FALSE,"유첨1-1";#N/A,#N/A,FALSE,"1-2";#N/A,#N/A,FALSE,"1-3";#N/A,#N/A,FALSE,"1-4";#N/A,#N/A,FALSE,"1-5";#N/A,#N/A,FALSE,"1-6";#N/A,#N/A,FALSE,"1-7";#N/A,#N/A,FALSE,"1-8";#N/A,#N/A,FALSE,"1-9"}</definedName>
    <definedName name="wrn.BBBB." localSheetId="3" hidden="1">{#N/A,#N/A,FALSE,"유첨1-1";#N/A,#N/A,FALSE,"1-2";#N/A,#N/A,FALSE,"1-3";#N/A,#N/A,FALSE,"1-4";#N/A,#N/A,FALSE,"1-5";#N/A,#N/A,FALSE,"1-6";#N/A,#N/A,FALSE,"1-7";#N/A,#N/A,FALSE,"1-8";#N/A,#N/A,FALSE,"1-9"}</definedName>
    <definedName name="wrn.BBBB." localSheetId="0" hidden="1">{#N/A,#N/A,FALSE,"유첨1-1";#N/A,#N/A,FALSE,"1-2";#N/A,#N/A,FALSE,"1-3";#N/A,#N/A,FALSE,"1-4";#N/A,#N/A,FALSE,"1-5";#N/A,#N/A,FALSE,"1-6";#N/A,#N/A,FALSE,"1-7";#N/A,#N/A,FALSE,"1-8";#N/A,#N/A,FALSE,"1-9"}</definedName>
    <definedName name="wrn.BBBB." hidden="1">{#N/A,#N/A,FALSE,"유첨1-1";#N/A,#N/A,FALSE,"1-2";#N/A,#N/A,FALSE,"1-3";#N/A,#N/A,FALSE,"1-4";#N/A,#N/A,FALSE,"1-5";#N/A,#N/A,FALSE,"1-6";#N/A,#N/A,FALSE,"1-7";#N/A,#N/A,FALSE,"1-8";#N/A,#N/A,FALSE,"1-9"}</definedName>
    <definedName name="wrn.CCCC." localSheetId="1" hidden="1">{#N/A,#N/A,FALSE,"유첨2-1";#N/A,#N/A,FALSE,"2-2";#N/A,#N/A,FALSE,"2-3";#N/A,#N/A,FALSE,"2-4";#N/A,#N/A,FALSE,"2-5";#N/A,#N/A,FALSE,"2-6";#N/A,#N/A,FALSE,"2-7";#N/A,#N/A,FALSE,"2-8";#N/A,#N/A,FALSE,"2-9"}</definedName>
    <definedName name="wrn.CCCC." localSheetId="3" hidden="1">{#N/A,#N/A,FALSE,"유첨2-1";#N/A,#N/A,FALSE,"2-2";#N/A,#N/A,FALSE,"2-3";#N/A,#N/A,FALSE,"2-4";#N/A,#N/A,FALSE,"2-5";#N/A,#N/A,FALSE,"2-6";#N/A,#N/A,FALSE,"2-7";#N/A,#N/A,FALSE,"2-8";#N/A,#N/A,FALSE,"2-9"}</definedName>
    <definedName name="wrn.CCCC." localSheetId="0" hidden="1">{#N/A,#N/A,FALSE,"유첨2-1";#N/A,#N/A,FALSE,"2-2";#N/A,#N/A,FALSE,"2-3";#N/A,#N/A,FALSE,"2-4";#N/A,#N/A,FALSE,"2-5";#N/A,#N/A,FALSE,"2-6";#N/A,#N/A,FALSE,"2-7";#N/A,#N/A,FALSE,"2-8";#N/A,#N/A,FALSE,"2-9"}</definedName>
    <definedName name="wrn.CCCC." hidden="1">{#N/A,#N/A,FALSE,"유첨2-1";#N/A,#N/A,FALSE,"2-2";#N/A,#N/A,FALSE,"2-3";#N/A,#N/A,FALSE,"2-4";#N/A,#N/A,FALSE,"2-5";#N/A,#N/A,FALSE,"2-6";#N/A,#N/A,FALSE,"2-7";#N/A,#N/A,FALSE,"2-8";#N/A,#N/A,FALSE,"2-9"}</definedName>
    <definedName name="wrn.DCF_Terminal_Value_qchm." localSheetId="1" hidden="1">{"qchm_dcf",#N/A,FALSE,"QCHMDCF2";"qchm_terminal",#N/A,FALSE,"QCHMDCF2"}</definedName>
    <definedName name="wrn.DCF_Terminal_Value_qchm." localSheetId="3" hidden="1">{"qchm_dcf",#N/A,FALSE,"QCHMDCF2";"qchm_terminal",#N/A,FALSE,"QCHMDCF2"}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DDD." localSheetId="1" hidden="1">{#N/A,#N/A,FALSE,"유첨3-1";#N/A,#N/A,FALSE,"3-2";#N/A,#N/A,FALSE,"3-3";#N/A,#N/A,FALSE,"3-4";#N/A,#N/A,FALSE,"3-5";#N/A,#N/A,FALSE,"3-6";#N/A,#N/A,FALSE,"3-7";#N/A,#N/A,FALSE,"3-8"}</definedName>
    <definedName name="wrn.DDDD." localSheetId="3" hidden="1">{#N/A,#N/A,FALSE,"유첨3-1";#N/A,#N/A,FALSE,"3-2";#N/A,#N/A,FALSE,"3-3";#N/A,#N/A,FALSE,"3-4";#N/A,#N/A,FALSE,"3-5";#N/A,#N/A,FALSE,"3-6";#N/A,#N/A,FALSE,"3-7";#N/A,#N/A,FALSE,"3-8"}</definedName>
    <definedName name="wrn.DDDD." localSheetId="0" hidden="1">{#N/A,#N/A,FALSE,"유첨3-1";#N/A,#N/A,FALSE,"3-2";#N/A,#N/A,FALSE,"3-3";#N/A,#N/A,FALSE,"3-4";#N/A,#N/A,FALSE,"3-5";#N/A,#N/A,FALSE,"3-6";#N/A,#N/A,FALSE,"3-7";#N/A,#N/A,FALSE,"3-8"}</definedName>
    <definedName name="wrn.DDDD." hidden="1">{#N/A,#N/A,FALSE,"유첨3-1";#N/A,#N/A,FALSE,"3-2";#N/A,#N/A,FALSE,"3-3";#N/A,#N/A,FALSE,"3-4";#N/A,#N/A,FALSE,"3-5";#N/A,#N/A,FALSE,"3-6";#N/A,#N/A,FALSE,"3-7";#N/A,#N/A,FALSE,"3-8"}</definedName>
    <definedName name="wrn.EEEE." localSheetId="1" hidden="1">{#N/A,#N/A,FALSE,"유첨4-1";#N/A,#N/A,FALSE,"4-2";#N/A,#N/A,FALSE,"4-3";#N/A,#N/A,FALSE,"4-4";#N/A,#N/A,FALSE,"4-5";#N/A,#N/A,FALSE,"4-6";#N/A,#N/A,FALSE,"4-7";#N/A,#N/A,FALSE,"4-8";#N/A,#N/A,FALSE,"4-9"}</definedName>
    <definedName name="wrn.EEEE." localSheetId="3" hidden="1">{#N/A,#N/A,FALSE,"유첨4-1";#N/A,#N/A,FALSE,"4-2";#N/A,#N/A,FALSE,"4-3";#N/A,#N/A,FALSE,"4-4";#N/A,#N/A,FALSE,"4-5";#N/A,#N/A,FALSE,"4-6";#N/A,#N/A,FALSE,"4-7";#N/A,#N/A,FALSE,"4-8";#N/A,#N/A,FALSE,"4-9"}</definedName>
    <definedName name="wrn.EEEE." localSheetId="0" hidden="1">{#N/A,#N/A,FALSE,"유첨4-1";#N/A,#N/A,FALSE,"4-2";#N/A,#N/A,FALSE,"4-3";#N/A,#N/A,FALSE,"4-4";#N/A,#N/A,FALSE,"4-5";#N/A,#N/A,FALSE,"4-6";#N/A,#N/A,FALSE,"4-7";#N/A,#N/A,FALSE,"4-8";#N/A,#N/A,FALSE,"4-9"}</definedName>
    <definedName name="wrn.EEEE." hidden="1">{#N/A,#N/A,FALSE,"유첨4-1";#N/A,#N/A,FALSE,"4-2";#N/A,#N/A,FALSE,"4-3";#N/A,#N/A,FALSE,"4-4";#N/A,#N/A,FALSE,"4-5";#N/A,#N/A,FALSE,"4-6";#N/A,#N/A,FALSE,"4-7";#N/A,#N/A,FALSE,"4-8";#N/A,#N/A,FALSE,"4-9"}</definedName>
    <definedName name="wrn.FFFF." localSheetId="1" hidden="1">{#N/A,#N/A,FALSE,"유첨5-1";#N/A,#N/A,FALSE,"5-2";#N/A,#N/A,FALSE,"5-3";#N/A,#N/A,FALSE,"5-4";#N/A,#N/A,FALSE,"5-5";#N/A,#N/A,FALSE,"5-6";#N/A,#N/A,FALSE,"5-7";#N/A,#N/A,FALSE,"5-8"}</definedName>
    <definedName name="wrn.FFFF." localSheetId="3" hidden="1">{#N/A,#N/A,FALSE,"유첨5-1";#N/A,#N/A,FALSE,"5-2";#N/A,#N/A,FALSE,"5-3";#N/A,#N/A,FALSE,"5-4";#N/A,#N/A,FALSE,"5-5";#N/A,#N/A,FALSE,"5-6";#N/A,#N/A,FALSE,"5-7";#N/A,#N/A,FALSE,"5-8"}</definedName>
    <definedName name="wrn.FFFF." localSheetId="0" hidden="1">{#N/A,#N/A,FALSE,"유첨5-1";#N/A,#N/A,FALSE,"5-2";#N/A,#N/A,FALSE,"5-3";#N/A,#N/A,FALSE,"5-4";#N/A,#N/A,FALSE,"5-5";#N/A,#N/A,FALSE,"5-6";#N/A,#N/A,FALSE,"5-7";#N/A,#N/A,FALSE,"5-8"}</definedName>
    <definedName name="wrn.FFFF." hidden="1">{#N/A,#N/A,FALSE,"유첨5-1";#N/A,#N/A,FALSE,"5-2";#N/A,#N/A,FALSE,"5-3";#N/A,#N/A,FALSE,"5-4";#N/A,#N/A,FALSE,"5-5";#N/A,#N/A,FALSE,"5-6";#N/A,#N/A,FALSE,"5-7";#N/A,#N/A,FALSE,"5-8"}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_.DCF." localSheetId="1" hidden="1">{"targetdcf",#N/A,FALSE,"Merger consequences";"TARGETASSU",#N/A,FALSE,"Merger consequences";"TERMINAL VALUE",#N/A,FALSE,"Merger consequences"}</definedName>
    <definedName name="wrn.TARGET._.DCF." localSheetId="3" hidden="1">{"targetdcf",#N/A,FALSE,"Merger consequences";"TARGETASSU",#N/A,FALSE,"Merger consequences";"TERMINAL VALUE",#N/A,FALSE,"Merger consequences"}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Y차._.종합." localSheetId="1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localSheetId="0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손익보고." localSheetId="1" hidden="1">{#N/A,#N/A,FALSE,"표지";#N/A,#N/A,FALSE,"page1";#N/A,#N/A,FALSE,"page2";#N/A,#N/A,FALSE,"page3";#N/A,#N/A,FALSE,"별첨"}</definedName>
    <definedName name="wrn.손익보고." localSheetId="3" hidden="1">{#N/A,#N/A,FALSE,"표지";#N/A,#N/A,FALSE,"page1";#N/A,#N/A,FALSE,"page2";#N/A,#N/A,FALSE,"page3";#N/A,#N/A,FALSE,"별첨"}</definedName>
    <definedName name="wrn.손익보고." localSheetId="0" hidden="1">{#N/A,#N/A,FALSE,"표지";#N/A,#N/A,FALSE,"page1";#N/A,#N/A,FALSE,"page2";#N/A,#N/A,FALSE,"page3";#N/A,#N/A,FALSE,"별첨"}</definedName>
    <definedName name="wrn.손익보고." hidden="1">{#N/A,#N/A,FALSE,"표지";#N/A,#N/A,FALSE,"page1";#N/A,#N/A,FALSE,"page2";#N/A,#N/A,FALSE,"page3";#N/A,#N/A,FALSE,"별첨"}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1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총괄._.수정." localSheetId="1" hidden="1">{#N/A,#N/A,FALSE,"총괄수정"}</definedName>
    <definedName name="wrn.총괄._.수정." localSheetId="3" hidden="1">{#N/A,#N/A,FALSE,"총괄수정"}</definedName>
    <definedName name="wrn.총괄._.수정." localSheetId="0" hidden="1">{#N/A,#N/A,FALSE,"총괄수정"}</definedName>
    <definedName name="wrn.총괄._.수정." hidden="1">{#N/A,#N/A,FALSE,"총괄수정"}</definedName>
    <definedName name="wwwwwwwwwwwww" localSheetId="3" hidden="1">{#N/A,#N/A,TRUE,"Y생산";#N/A,#N/A,TRUE,"Y판매";#N/A,#N/A,TRUE,"Y총물량";#N/A,#N/A,TRUE,"Y능력";#N/A,#N/A,TRUE,"YKD"}</definedName>
    <definedName name="wwwwwwwwwwwww" hidden="1">{#N/A,#N/A,TRUE,"Y생산";#N/A,#N/A,TRUE,"Y판매";#N/A,#N/A,TRUE,"Y총물량";#N/A,#N/A,TRUE,"Y능력";#N/A,#N/A,TRUE,"YKD"}</definedName>
    <definedName name="yr" localSheetId="1" hidden="1">{"'표지'!$B$5"}</definedName>
    <definedName name="yr" localSheetId="3" hidden="1">{"'표지'!$B$5"}</definedName>
    <definedName name="yr" localSheetId="0" hidden="1">{"'표지'!$B$5"}</definedName>
    <definedName name="yr" hidden="1">{"'표지'!$B$5"}</definedName>
    <definedName name="YYY" localSheetId="1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localSheetId="0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1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localSheetId="0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ZBN" localSheetId="1" hidden="1">{#N/A,#N/A,FALSE,"단축1";#N/A,#N/A,FALSE,"단축2";#N/A,#N/A,FALSE,"단축3";#N/A,#N/A,FALSE,"장축";#N/A,#N/A,FALSE,"4WD"}</definedName>
    <definedName name="ZBN" localSheetId="3" hidden="1">{#N/A,#N/A,FALSE,"단축1";#N/A,#N/A,FALSE,"단축2";#N/A,#N/A,FALSE,"단축3";#N/A,#N/A,FALSE,"장축";#N/A,#N/A,FALSE,"4WD"}</definedName>
    <definedName name="ZBN" localSheetId="0" hidden="1">{#N/A,#N/A,FALSE,"단축1";#N/A,#N/A,FALSE,"단축2";#N/A,#N/A,FALSE,"단축3";#N/A,#N/A,FALSE,"장축";#N/A,#N/A,FALSE,"4WD"}</definedName>
    <definedName name="ZBN" hidden="1">{#N/A,#N/A,FALSE,"단축1";#N/A,#N/A,FALSE,"단축2";#N/A,#N/A,FALSE,"단축3";#N/A,#N/A,FALSE,"장축";#N/A,#N/A,FALSE,"4WD"}</definedName>
    <definedName name="ZXC" localSheetId="3" hidden="1">#REF!</definedName>
    <definedName name="ZXC" hidden="1">#REF!</definedName>
    <definedName name="ZXCZXC" localSheetId="3" hidden="1">#REF!</definedName>
    <definedName name="ZXCZXC" hidden="1">#REF!</definedName>
    <definedName name="ㄱㄱㄱ" localSheetId="1" hidden="1">{"targetdcf",#N/A,FALSE,"Merger consequences";"TARGETASSU",#N/A,FALSE,"Merger consequences";"TERMINAL VALUE",#N/A,FALSE,"Merger consequences"}</definedName>
    <definedName name="ㄱㄱㄱ" localSheetId="3" hidden="1">{"targetdcf",#N/A,FALSE,"Merger consequences";"TARGETASSU",#N/A,FALSE,"Merger consequences";"TERMINAL VALUE",#N/A,FALSE,"Merger consequences"}</definedName>
    <definedName name="ㄱㄱㄱ" localSheetId="0" hidden="1">{"targetdcf",#N/A,FALSE,"Merger consequences";"TARGETASSU",#N/A,FALSE,"Merger consequences";"TERMINAL VALUE",#N/A,FALSE,"Merger consequences"}</definedName>
    <definedName name="ㄱㄱㄱ" hidden="1">{"targetdcf",#N/A,FALSE,"Merger consequences";"TARGETASSU",#N/A,FALSE,"Merger consequences";"TERMINAL VALUE",#N/A,FALSE,"Merger consequences"}</definedName>
    <definedName name="ㄱㅇ" localSheetId="1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localSheetId="1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localSheetId="0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2" localSheetId="1" hidden="1">{#N/A,#N/A,TRUE,"Y생산";#N/A,#N/A,TRUE,"Y판매";#N/A,#N/A,TRUE,"Y총물량";#N/A,#N/A,TRUE,"Y능력";#N/A,#N/A,TRUE,"YKD"}</definedName>
    <definedName name="가2" localSheetId="3" hidden="1">{#N/A,#N/A,TRUE,"Y생산";#N/A,#N/A,TRUE,"Y판매";#N/A,#N/A,TRUE,"Y총물량";#N/A,#N/A,TRUE,"Y능력";#N/A,#N/A,TRUE,"YKD"}</definedName>
    <definedName name="가2" localSheetId="0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동" localSheetId="1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localSheetId="0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1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localSheetId="0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강강농" localSheetId="1" hidden="1">{#N/A,#N/A,FALSE,"단축1";#N/A,#N/A,FALSE,"단축2";#N/A,#N/A,FALSE,"단축3";#N/A,#N/A,FALSE,"장축";#N/A,#N/A,FALSE,"4WD"}</definedName>
    <definedName name="강강농" localSheetId="3" hidden="1">{#N/A,#N/A,FALSE,"단축1";#N/A,#N/A,FALSE,"단축2";#N/A,#N/A,FALSE,"단축3";#N/A,#N/A,FALSE,"장축";#N/A,#N/A,FALSE,"4WD"}</definedName>
    <definedName name="강강농" localSheetId="0" hidden="1">{#N/A,#N/A,FALSE,"단축1";#N/A,#N/A,FALSE,"단축2";#N/A,#N/A,FALSE,"단축3";#N/A,#N/A,FALSE,"장축";#N/A,#N/A,FALSE,"4WD"}</definedName>
    <definedName name="강강농" hidden="1">{#N/A,#N/A,FALSE,"단축1";#N/A,#N/A,FALSE,"단축2";#N/A,#N/A,FALSE,"단축3";#N/A,#N/A,FALSE,"장축";#N/A,#N/A,FALSE,"4WD"}</definedName>
    <definedName name="개발시험종합" localSheetId="3" hidden="1">#REF!</definedName>
    <definedName name="개발시험종합" hidden="1">#REF!</definedName>
    <definedName name="개발일정수정" localSheetId="1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localSheetId="0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과장1" localSheetId="1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localSheetId="0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1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localSheetId="0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제1" localSheetId="1" hidden="1">{#N/A,#N/A,FALSE,"단축1";#N/A,#N/A,FALSE,"단축2";#N/A,#N/A,FALSE,"단축3";#N/A,#N/A,FALSE,"장축";#N/A,#N/A,FALSE,"4WD"}</definedName>
    <definedName name="개선과제1" localSheetId="3" hidden="1">{#N/A,#N/A,FALSE,"단축1";#N/A,#N/A,FALSE,"단축2";#N/A,#N/A,FALSE,"단축3";#N/A,#N/A,FALSE,"장축";#N/A,#N/A,FALSE,"4WD"}</definedName>
    <definedName name="개선과제1" localSheetId="0" hidden="1">{#N/A,#N/A,FALSE,"단축1";#N/A,#N/A,FALSE,"단축2";#N/A,#N/A,FALSE,"단축3";#N/A,#N/A,FALSE,"장축";#N/A,#N/A,FALSE,"4WD"}</definedName>
    <definedName name="개선과제1" hidden="1">{#N/A,#N/A,FALSE,"단축1";#N/A,#N/A,FALSE,"단축2";#N/A,#N/A,FALSE,"단축3";#N/A,#N/A,FALSE,"장축";#N/A,#N/A,FALSE,"4WD"}</definedName>
    <definedName name="개선내용" localSheetId="1" hidden="1">{#N/A,#N/A,TRUE,"Y생산";#N/A,#N/A,TRUE,"Y판매";#N/A,#N/A,TRUE,"Y총물량";#N/A,#N/A,TRUE,"Y능력";#N/A,#N/A,TRUE,"YKD"}</definedName>
    <definedName name="개선내용" localSheetId="3" hidden="1">{#N/A,#N/A,TRUE,"Y생산";#N/A,#N/A,TRUE,"Y판매";#N/A,#N/A,TRUE,"Y총물량";#N/A,#N/A,TRUE,"Y능력";#N/A,#N/A,TRUE,"YKD"}</definedName>
    <definedName name="개선내용" localSheetId="0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1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localSheetId="0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거" localSheetId="1" hidden="1">{#N/A,#N/A,FALSE,"단축1";#N/A,#N/A,FALSE,"단축2";#N/A,#N/A,FALSE,"단축3";#N/A,#N/A,FALSE,"장축";#N/A,#N/A,FALSE,"4WD"}</definedName>
    <definedName name="거" localSheetId="3" hidden="1">{#N/A,#N/A,FALSE,"단축1";#N/A,#N/A,FALSE,"단축2";#N/A,#N/A,FALSE,"단축3";#N/A,#N/A,FALSE,"장축";#N/A,#N/A,FALSE,"4WD"}</definedName>
    <definedName name="거" localSheetId="0" hidden="1">{#N/A,#N/A,FALSE,"단축1";#N/A,#N/A,FALSE,"단축2";#N/A,#N/A,FALSE,"단축3";#N/A,#N/A,FALSE,"장축";#N/A,#N/A,FALSE,"4WD"}</definedName>
    <definedName name="거" hidden="1">{#N/A,#N/A,FALSE,"단축1";#N/A,#N/A,FALSE,"단축2";#N/A,#N/A,FALSE,"단축3";#N/A,#N/A,FALSE,"장축";#N/A,#N/A,FALSE,"4WD"}</definedName>
    <definedName name="걸" localSheetId="1" hidden="1">{#N/A,#N/A,FALSE,"단축1";#N/A,#N/A,FALSE,"단축2";#N/A,#N/A,FALSE,"단축3";#N/A,#N/A,FALSE,"장축";#N/A,#N/A,FALSE,"4WD"}</definedName>
    <definedName name="걸" localSheetId="3" hidden="1">{#N/A,#N/A,FALSE,"단축1";#N/A,#N/A,FALSE,"단축2";#N/A,#N/A,FALSE,"단축3";#N/A,#N/A,FALSE,"장축";#N/A,#N/A,FALSE,"4WD"}</definedName>
    <definedName name="걸" localSheetId="0" hidden="1">{#N/A,#N/A,FALSE,"단축1";#N/A,#N/A,FALSE,"단축2";#N/A,#N/A,FALSE,"단축3";#N/A,#N/A,FALSE,"장축";#N/A,#N/A,FALSE,"4WD"}</definedName>
    <definedName name="걸" hidden="1">{#N/A,#N/A,FALSE,"단축1";#N/A,#N/A,FALSE,"단축2";#N/A,#N/A,FALSE,"단축3";#N/A,#N/A,FALSE,"장축";#N/A,#N/A,FALSE,"4WD"}</definedName>
    <definedName name="경상비8월" localSheetId="1" hidden="1">{#N/A,#N/A,FALSE,"단축1";#N/A,#N/A,FALSE,"단축2";#N/A,#N/A,FALSE,"단축3";#N/A,#N/A,FALSE,"장축";#N/A,#N/A,FALSE,"4WD"}</definedName>
    <definedName name="경상비8월" localSheetId="3" hidden="1">{#N/A,#N/A,FALSE,"단축1";#N/A,#N/A,FALSE,"단축2";#N/A,#N/A,FALSE,"단축3";#N/A,#N/A,FALSE,"장축";#N/A,#N/A,FALSE,"4WD"}</definedName>
    <definedName name="경상비8월" localSheetId="0" hidden="1">{#N/A,#N/A,FALSE,"단축1";#N/A,#N/A,FALSE,"단축2";#N/A,#N/A,FALSE,"단축3";#N/A,#N/A,FALSE,"장축";#N/A,#N/A,FALSE,"4WD"}</definedName>
    <definedName name="경상비8월" hidden="1">{#N/A,#N/A,FALSE,"단축1";#N/A,#N/A,FALSE,"단축2";#N/A,#N/A,FALSE,"단축3";#N/A,#N/A,FALSE,"장축";#N/A,#N/A,FALSE,"4WD"}</definedName>
    <definedName name="경합금2과운연계획" localSheetId="1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localSheetId="0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" localSheetId="1" hidden="1">{#N/A,#N/A,FALSE,"단축1";#N/A,#N/A,FALSE,"단축2";#N/A,#N/A,FALSE,"단축3";#N/A,#N/A,FALSE,"장축";#N/A,#N/A,FALSE,"4WD"}</definedName>
    <definedName name="계" localSheetId="3" hidden="1">{#N/A,#N/A,FALSE,"단축1";#N/A,#N/A,FALSE,"단축2";#N/A,#N/A,FALSE,"단축3";#N/A,#N/A,FALSE,"장축";#N/A,#N/A,FALSE,"4WD"}</definedName>
    <definedName name="계" localSheetId="0" hidden="1">{#N/A,#N/A,FALSE,"단축1";#N/A,#N/A,FALSE,"단축2";#N/A,#N/A,FALSE,"단축3";#N/A,#N/A,FALSE,"장축";#N/A,#N/A,FALSE,"4WD"}</definedName>
    <definedName name="계" hidden="1">{#N/A,#N/A,FALSE,"단축1";#N/A,#N/A,FALSE,"단축2";#N/A,#N/A,FALSE,"단축3";#N/A,#N/A,FALSE,"장축";#N/A,#N/A,FALSE,"4WD"}</definedName>
    <definedName name="계정별투자총괄" localSheetId="1" hidden="1">{#N/A,#N/A,FALSE,"단축1";#N/A,#N/A,FALSE,"단축2";#N/A,#N/A,FALSE,"단축3";#N/A,#N/A,FALSE,"장축";#N/A,#N/A,FALSE,"4WD"}</definedName>
    <definedName name="계정별투자총괄" localSheetId="3" hidden="1">{#N/A,#N/A,FALSE,"단축1";#N/A,#N/A,FALSE,"단축2";#N/A,#N/A,FALSE,"단축3";#N/A,#N/A,FALSE,"장축";#N/A,#N/A,FALSE,"4WD"}</definedName>
    <definedName name="계정별투자총괄" localSheetId="0" hidden="1">{#N/A,#N/A,FALSE,"단축1";#N/A,#N/A,FALSE,"단축2";#N/A,#N/A,FALSE,"단축3";#N/A,#N/A,FALSE,"장축";#N/A,#N/A,FALSE,"4WD"}</definedName>
    <definedName name="계정별투자총괄" hidden="1">{#N/A,#N/A,FALSE,"단축1";#N/A,#N/A,FALSE,"단축2";#N/A,#N/A,FALSE,"단축3";#N/A,#N/A,FALSE,"장축";#N/A,#N/A,FALSE,"4WD"}</definedName>
    <definedName name="계획.1" localSheetId="1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localSheetId="0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1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localSheetId="0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골" localSheetId="1" hidden="1">{#N/A,#N/A,FALSE,"단축1";#N/A,#N/A,FALSE,"단축2";#N/A,#N/A,FALSE,"단축3";#N/A,#N/A,FALSE,"장축";#N/A,#N/A,FALSE,"4WD"}</definedName>
    <definedName name="골" localSheetId="3" hidden="1">{#N/A,#N/A,FALSE,"단축1";#N/A,#N/A,FALSE,"단축2";#N/A,#N/A,FALSE,"단축3";#N/A,#N/A,FALSE,"장축";#N/A,#N/A,FALSE,"4WD"}</definedName>
    <definedName name="골" localSheetId="0" hidden="1">{#N/A,#N/A,FALSE,"단축1";#N/A,#N/A,FALSE,"단축2";#N/A,#N/A,FALSE,"단축3";#N/A,#N/A,FALSE,"장축";#N/A,#N/A,FALSE,"4WD"}</definedName>
    <definedName name="골" hidden="1">{#N/A,#N/A,FALSE,"단축1";#N/A,#N/A,FALSE,"단축2";#N/A,#N/A,FALSE,"단축3";#N/A,#N/A,FALSE,"장축";#N/A,#N/A,FALSE,"4WD"}</definedName>
    <definedName name="공공" localSheetId="1" hidden="1">{#N/A,#N/A,FALSE,"단축1";#N/A,#N/A,FALSE,"단축2";#N/A,#N/A,FALSE,"단축3";#N/A,#N/A,FALSE,"장축";#N/A,#N/A,FALSE,"4WD"}</definedName>
    <definedName name="공공" localSheetId="3" hidden="1">{#N/A,#N/A,FALSE,"단축1";#N/A,#N/A,FALSE,"단축2";#N/A,#N/A,FALSE,"단축3";#N/A,#N/A,FALSE,"장축";#N/A,#N/A,FALSE,"4WD"}</definedName>
    <definedName name="공공" localSheetId="0" hidden="1">{#N/A,#N/A,FALSE,"단축1";#N/A,#N/A,FALSE,"단축2";#N/A,#N/A,FALSE,"단축3";#N/A,#N/A,FALSE,"장축";#N/A,#N/A,FALSE,"4WD"}</definedName>
    <definedName name="공공" hidden="1">{#N/A,#N/A,FALSE,"단축1";#N/A,#N/A,FALSE,"단축2";#N/A,#N/A,FALSE,"단축3";#N/A,#N/A,FALSE,"장축";#N/A,#N/A,FALSE,"4WD"}</definedName>
    <definedName name="공성환" localSheetId="1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localSheetId="0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관리2" localSheetId="1" hidden="1">{#N/A,#N/A,FALSE,"총괄수정"}</definedName>
    <definedName name="관리2" localSheetId="3" hidden="1">{#N/A,#N/A,FALSE,"총괄수정"}</definedName>
    <definedName name="관리2" localSheetId="0" hidden="1">{#N/A,#N/A,FALSE,"총괄수정"}</definedName>
    <definedName name="관리2" hidden="1">{#N/A,#N/A,FALSE,"총괄수정"}</definedName>
    <definedName name="관리지표2" localSheetId="1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localSheetId="0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자석" localSheetId="1" hidden="1">{#N/A,#N/A,FALSE,"총괄수정"}</definedName>
    <definedName name="구자석" localSheetId="3" hidden="1">{#N/A,#N/A,FALSE,"총괄수정"}</definedName>
    <definedName name="구자석" localSheetId="0" hidden="1">{#N/A,#N/A,FALSE,"총괄수정"}</definedName>
    <definedName name="구자석" hidden="1">{#N/A,#N/A,FALSE,"총괄수정"}</definedName>
    <definedName name="구자석.틴" localSheetId="1" hidden="1">{#N/A,#N/A,FALSE,"총괄수정"}</definedName>
    <definedName name="구자석.틴" localSheetId="3" hidden="1">{#N/A,#N/A,FALSE,"총괄수정"}</definedName>
    <definedName name="구자석.틴" localSheetId="0" hidden="1">{#N/A,#N/A,FALSE,"총괄수정"}</definedName>
    <definedName name="구자석.틴" hidden="1">{#N/A,#N/A,FALSE,"총괄수정"}</definedName>
    <definedName name="구조조정계획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국" localSheetId="1" hidden="1">{#N/A,#N/A,FALSE,"단축1";#N/A,#N/A,FALSE,"단축2";#N/A,#N/A,FALSE,"단축3";#N/A,#N/A,FALSE,"장축";#N/A,#N/A,FALSE,"4WD"}</definedName>
    <definedName name="국" localSheetId="3" hidden="1">{#N/A,#N/A,FALSE,"단축1";#N/A,#N/A,FALSE,"단축2";#N/A,#N/A,FALSE,"단축3";#N/A,#N/A,FALSE,"장축";#N/A,#N/A,FALSE,"4WD"}</definedName>
    <definedName name="국" localSheetId="0" hidden="1">{#N/A,#N/A,FALSE,"단축1";#N/A,#N/A,FALSE,"단축2";#N/A,#N/A,FALSE,"단축3";#N/A,#N/A,FALSE,"장축";#N/A,#N/A,FALSE,"4WD"}</definedName>
    <definedName name="국" hidden="1">{#N/A,#N/A,FALSE,"단축1";#N/A,#N/A,FALSE,"단축2";#N/A,#N/A,FALSE,"단축3";#N/A,#N/A,FALSE,"장축";#N/A,#N/A,FALSE,"4WD"}</definedName>
    <definedName name="권" localSheetId="1" hidden="1">{#N/A,#N/A,FALSE,"총괄수정"}</definedName>
    <definedName name="권" localSheetId="3" hidden="1">{#N/A,#N/A,FALSE,"총괄수정"}</definedName>
    <definedName name="권" localSheetId="0" hidden="1">{#N/A,#N/A,FALSE,"총괄수정"}</definedName>
    <definedName name="권" hidden="1">{#N/A,#N/A,FALSE,"총괄수정"}</definedName>
    <definedName name="그" localSheetId="1" hidden="1">{#N/A,#N/A,FALSE,"단축1";#N/A,#N/A,FALSE,"단축2";#N/A,#N/A,FALSE,"단축3";#N/A,#N/A,FALSE,"장축";#N/A,#N/A,FALSE,"4WD"}</definedName>
    <definedName name="그" localSheetId="3" hidden="1">{#N/A,#N/A,FALSE,"단축1";#N/A,#N/A,FALSE,"단축2";#N/A,#N/A,FALSE,"단축3";#N/A,#N/A,FALSE,"장축";#N/A,#N/A,FALSE,"4WD"}</definedName>
    <definedName name="그" localSheetId="0" hidden="1">{#N/A,#N/A,FALSE,"단축1";#N/A,#N/A,FALSE,"단축2";#N/A,#N/A,FALSE,"단축3";#N/A,#N/A,FALSE,"장축";#N/A,#N/A,FALSE,"4WD"}</definedName>
    <definedName name="그" hidden="1">{#N/A,#N/A,FALSE,"단축1";#N/A,#N/A,FALSE,"단축2";#N/A,#N/A,FALSE,"단축3";#N/A,#N/A,FALSE,"장축";#N/A,#N/A,FALSE,"4WD"}</definedName>
    <definedName name="금월" localSheetId="1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localSheetId="0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기" localSheetId="1" hidden="1">{#N/A,#N/A,TRUE,"Y생산";#N/A,#N/A,TRUE,"Y판매";#N/A,#N/A,TRUE,"Y총물량";#N/A,#N/A,TRUE,"Y능력";#N/A,#N/A,TRUE,"YKD"}</definedName>
    <definedName name="기" localSheetId="3" hidden="1">{#N/A,#N/A,TRUE,"Y생산";#N/A,#N/A,TRUE,"Y판매";#N/A,#N/A,TRUE,"Y총물량";#N/A,#N/A,TRUE,"Y능력";#N/A,#N/A,TRUE,"YKD"}</definedName>
    <definedName name="기" localSheetId="0" hidden="1">{#N/A,#N/A,TRUE,"Y생산";#N/A,#N/A,TRUE,"Y판매";#N/A,#N/A,TRUE,"Y총물량";#N/A,#N/A,TRUE,"Y능력";#N/A,#N/A,TRUE,"YKD"}</definedName>
    <definedName name="기" hidden="1">{#N/A,#N/A,TRUE,"Y생산";#N/A,#N/A,TRUE,"Y판매";#N/A,#N/A,TRUE,"Y총물량";#N/A,#N/A,TRUE,"Y능력";#N/A,#N/A,TRUE,"YKD"}</definedName>
    <definedName name="기본단가" localSheetId="3">#REF!</definedName>
    <definedName name="기본단가">#REF!</definedName>
    <definedName name="기아" localSheetId="1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localSheetId="0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1" localSheetId="1" hidden="1">{#N/A,#N/A,FALSE,"단축1";#N/A,#N/A,FALSE,"단축2";#N/A,#N/A,FALSE,"단축3";#N/A,#N/A,FALSE,"장축";#N/A,#N/A,FALSE,"4WD"}</definedName>
    <definedName name="기아1" localSheetId="3" hidden="1">{#N/A,#N/A,FALSE,"단축1";#N/A,#N/A,FALSE,"단축2";#N/A,#N/A,FALSE,"단축3";#N/A,#N/A,FALSE,"장축";#N/A,#N/A,FALSE,"4WD"}</definedName>
    <definedName name="기아1" localSheetId="0" hidden="1">{#N/A,#N/A,FALSE,"단축1";#N/A,#N/A,FALSE,"단축2";#N/A,#N/A,FALSE,"단축3";#N/A,#N/A,FALSE,"장축";#N/A,#N/A,FALSE,"4WD"}</definedName>
    <definedName name="기아1" hidden="1">{#N/A,#N/A,FALSE,"단축1";#N/A,#N/A,FALSE,"단축2";#N/A,#N/A,FALSE,"단축3";#N/A,#N/A,FALSE,"장축";#N/A,#N/A,FALSE,"4WD"}</definedName>
    <definedName name="기준등급" localSheetId="3">#REF!</definedName>
    <definedName name="기준등급">#REF!</definedName>
    <definedName name="김진" localSheetId="1" hidden="1">{#N/A,#N/A,FALSE,"단축1";#N/A,#N/A,FALSE,"단축2";#N/A,#N/A,FALSE,"단축3";#N/A,#N/A,FALSE,"장축";#N/A,#N/A,FALSE,"4WD"}</definedName>
    <definedName name="김진" localSheetId="3" hidden="1">{#N/A,#N/A,FALSE,"단축1";#N/A,#N/A,FALSE,"단축2";#N/A,#N/A,FALSE,"단축3";#N/A,#N/A,FALSE,"장축";#N/A,#N/A,FALSE,"4WD"}</definedName>
    <definedName name="김진" localSheetId="0" hidden="1">{#N/A,#N/A,FALSE,"단축1";#N/A,#N/A,FALSE,"단축2";#N/A,#N/A,FALSE,"단축3";#N/A,#N/A,FALSE,"장축";#N/A,#N/A,FALSE,"4WD"}</definedName>
    <definedName name="김진" hidden="1">{#N/A,#N/A,FALSE,"단축1";#N/A,#N/A,FALSE,"단축2";#N/A,#N/A,FALSE,"단축3";#N/A,#N/A,FALSE,"장축";#N/A,#N/A,FALSE,"4WD"}</definedName>
    <definedName name="ㄳㄱ" localSheetId="1" hidden="1">{#N/A,#N/A,FALSE,"단축1";#N/A,#N/A,FALSE,"단축2";#N/A,#N/A,FALSE,"단축3";#N/A,#N/A,FALSE,"장축";#N/A,#N/A,FALSE,"4WD"}</definedName>
    <definedName name="ㄳㄱ" localSheetId="3" hidden="1">{#N/A,#N/A,FALSE,"단축1";#N/A,#N/A,FALSE,"단축2";#N/A,#N/A,FALSE,"단축3";#N/A,#N/A,FALSE,"장축";#N/A,#N/A,FALSE,"4WD"}</definedName>
    <definedName name="ㄳㄱ" localSheetId="0" hidden="1">{#N/A,#N/A,FALSE,"단축1";#N/A,#N/A,FALSE,"단축2";#N/A,#N/A,FALSE,"단축3";#N/A,#N/A,FALSE,"장축";#N/A,#N/A,FALSE,"4WD"}</definedName>
    <definedName name="ㄳㄱ" hidden="1">{#N/A,#N/A,FALSE,"단축1";#N/A,#N/A,FALSE,"단축2";#N/A,#N/A,FALSE,"단축3";#N/A,#N/A,FALSE,"장축";#N/A,#N/A,FALSE,"4WD"}</definedName>
    <definedName name="ㄳㅎㄹㅇ" localSheetId="1" hidden="1">{#N/A,#N/A,FALSE,"단축1";#N/A,#N/A,FALSE,"단축2";#N/A,#N/A,FALSE,"단축3";#N/A,#N/A,FALSE,"장축";#N/A,#N/A,FALSE,"4WD"}</definedName>
    <definedName name="ㄳㅎㄹㅇ" localSheetId="3" hidden="1">{#N/A,#N/A,FALSE,"단축1";#N/A,#N/A,FALSE,"단축2";#N/A,#N/A,FALSE,"단축3";#N/A,#N/A,FALSE,"장축";#N/A,#N/A,FALSE,"4WD"}</definedName>
    <definedName name="ㄳㅎㄹㅇ" localSheetId="0" hidden="1">{#N/A,#N/A,FALSE,"단축1";#N/A,#N/A,FALSE,"단축2";#N/A,#N/A,FALSE,"단축3";#N/A,#N/A,FALSE,"장축";#N/A,#N/A,FALSE,"4WD"}</definedName>
    <definedName name="ㄳㅎㄹㅇ" hidden="1">{#N/A,#N/A,FALSE,"단축1";#N/A,#N/A,FALSE,"단축2";#N/A,#N/A,FALSE,"단축3";#N/A,#N/A,FALSE,"장축";#N/A,#N/A,FALSE,"4WD"}</definedName>
    <definedName name="ㄴㄴㄴㄴㄴ" localSheetId="1" hidden="1">{#N/A,#N/A,FALSE,"단축1";#N/A,#N/A,FALSE,"단축2";#N/A,#N/A,FALSE,"단축3";#N/A,#N/A,FALSE,"장축";#N/A,#N/A,FALSE,"4WD"}</definedName>
    <definedName name="ㄴㄴㄴㄴㄴ" localSheetId="3" hidden="1">{#N/A,#N/A,FALSE,"단축1";#N/A,#N/A,FALSE,"단축2";#N/A,#N/A,FALSE,"단축3";#N/A,#N/A,FALSE,"장축";#N/A,#N/A,FALSE,"4WD"}</definedName>
    <definedName name="ㄴㄴㄴㄴㄴ" localSheetId="0" hidden="1">{#N/A,#N/A,FALSE,"단축1";#N/A,#N/A,FALSE,"단축2";#N/A,#N/A,FALSE,"단축3";#N/A,#N/A,FALSE,"장축";#N/A,#N/A,FALSE,"4WD"}</definedName>
    <definedName name="ㄴㄴㄴㄴㄴ" hidden="1">{#N/A,#N/A,FALSE,"단축1";#N/A,#N/A,FALSE,"단축2";#N/A,#N/A,FALSE,"단축3";#N/A,#N/A,FALSE,"장축";#N/A,#N/A,FALSE,"4WD"}</definedName>
    <definedName name="ㄴㄹ" localSheetId="1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localSheetId="0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ㅁㅁㄴㄴ" localSheetId="1" hidden="1">{"AQUIRORDCF",#N/A,FALSE,"Merger consequences";"Acquirorassns",#N/A,FALSE,"Merger consequences"}</definedName>
    <definedName name="ㄴㅁㅁㄴㄴ" localSheetId="3" hidden="1">{"AQUIRORDCF",#N/A,FALSE,"Merger consequences";"Acquirorassns",#N/A,FALSE,"Merger consequences"}</definedName>
    <definedName name="ㄴㅁㅁㄴㄴ" localSheetId="0" hidden="1">{"AQUIRORDCF",#N/A,FALSE,"Merger consequences";"Acquirorassns",#N/A,FALSE,"Merger consequences"}</definedName>
    <definedName name="ㄴㅁㅁㄴㄴ" hidden="1">{"AQUIRORDCF",#N/A,FALSE,"Merger consequences";"Acquirorassns",#N/A,FALSE,"Merger consequences"}</definedName>
    <definedName name="ㄴㅁㅇ" localSheetId="1" hidden="1">{"qchm_dcf",#N/A,FALSE,"QCHMDCF2";"qchm_terminal",#N/A,FALSE,"QCHMDCF2"}</definedName>
    <definedName name="ㄴㅁㅇ" localSheetId="3" hidden="1">{"qchm_dcf",#N/A,FALSE,"QCHMDCF2";"qchm_terminal",#N/A,FALSE,"QCHMDCF2"}</definedName>
    <definedName name="ㄴㅁㅇ" localSheetId="0" hidden="1">{"qchm_dcf",#N/A,FALSE,"QCHMDCF2";"qchm_terminal",#N/A,FALSE,"QCHMDCF2"}</definedName>
    <definedName name="ㄴㅁㅇ" hidden="1">{"qchm_dcf",#N/A,FALSE,"QCHMDCF2";"qchm_terminal",#N/A,FALSE,"QCHMDCF2"}</definedName>
    <definedName name="ㄴㅁㅇㅇㅁ" localSheetId="3" hidden="1">#REF!</definedName>
    <definedName name="ㄴㅁㅇㅇㅁ" hidden="1">#REF!</definedName>
    <definedName name="ㄴㅁㅇㅎㅇ롱로" localSheetId="3" hidden="1">#REF!</definedName>
    <definedName name="ㄴㅁㅇㅎㅇ롱로" hidden="1">#REF!</definedName>
    <definedName name="ㄴㅇ" localSheetId="1" hidden="1">{#N/A,#N/A,FALSE,"단축1";#N/A,#N/A,FALSE,"단축2";#N/A,#N/A,FALSE,"단축3";#N/A,#N/A,FALSE,"장축";#N/A,#N/A,FALSE,"4WD"}</definedName>
    <definedName name="ㄴㅇ" localSheetId="3" hidden="1">{#N/A,#N/A,FALSE,"단축1";#N/A,#N/A,FALSE,"단축2";#N/A,#N/A,FALSE,"단축3";#N/A,#N/A,FALSE,"장축";#N/A,#N/A,FALSE,"4WD"}</definedName>
    <definedName name="ㄴㅇ" localSheetId="0" hidden="1">{#N/A,#N/A,FALSE,"단축1";#N/A,#N/A,FALSE,"단축2";#N/A,#N/A,FALSE,"단축3";#N/A,#N/A,FALSE,"장축";#N/A,#N/A,FALSE,"4WD"}</definedName>
    <definedName name="ㄴㅇ" hidden="1">{#N/A,#N/A,FALSE,"단축1";#N/A,#N/A,FALSE,"단축2";#N/A,#N/A,FALSE,"단축3";#N/A,#N/A,FALSE,"장축";#N/A,#N/A,FALSE,"4WD"}</definedName>
    <definedName name="ㄴㅇㄴㅇㅀㄹㅇㅎㅇㅀㅎ" localSheetId="1" hidden="1">{#N/A,#N/A,FALSE,"단축1";#N/A,#N/A,FALSE,"단축2";#N/A,#N/A,FALSE,"단축3";#N/A,#N/A,FALSE,"장축";#N/A,#N/A,FALSE,"4WD"}</definedName>
    <definedName name="ㄴㅇㄴㅇㅀㄹㅇㅎㅇㅀㅎ" localSheetId="3" hidden="1">{#N/A,#N/A,FALSE,"단축1";#N/A,#N/A,FALSE,"단축2";#N/A,#N/A,FALSE,"단축3";#N/A,#N/A,FALSE,"장축";#N/A,#N/A,FALSE,"4WD"}</definedName>
    <definedName name="ㄴㅇㄴㅇㅀㄹㅇㅎㅇㅀㅎ" localSheetId="0" hidden="1">{#N/A,#N/A,FALSE,"단축1";#N/A,#N/A,FALSE,"단축2";#N/A,#N/A,FALSE,"단축3";#N/A,#N/A,FALSE,"장축";#N/A,#N/A,FALSE,"4WD"}</definedName>
    <definedName name="ㄴㅇㄴㅇㅀㄹㅇㅎㅇㅀㅎ" hidden="1">{#N/A,#N/A,FALSE,"단축1";#N/A,#N/A,FALSE,"단축2";#N/A,#N/A,FALSE,"단축3";#N/A,#N/A,FALSE,"장축";#N/A,#N/A,FALSE,"4WD"}</definedName>
    <definedName name="ㄴㅇㅁㄹ" localSheetId="1" hidden="1">{#N/A,#N/A,FALSE,"단축1";#N/A,#N/A,FALSE,"단축2";#N/A,#N/A,FALSE,"단축3";#N/A,#N/A,FALSE,"장축";#N/A,#N/A,FALSE,"4WD"}</definedName>
    <definedName name="ㄴㅇㅁㄹ" localSheetId="3" hidden="1">{#N/A,#N/A,FALSE,"단축1";#N/A,#N/A,FALSE,"단축2";#N/A,#N/A,FALSE,"단축3";#N/A,#N/A,FALSE,"장축";#N/A,#N/A,FALSE,"4WD"}</definedName>
    <definedName name="ㄴㅇㅁㄹ" localSheetId="0" hidden="1">{#N/A,#N/A,FALSE,"단축1";#N/A,#N/A,FALSE,"단축2";#N/A,#N/A,FALSE,"단축3";#N/A,#N/A,FALSE,"장축";#N/A,#N/A,FALSE,"4WD"}</definedName>
    <definedName name="ㄴㅇㅁㄹ" hidden="1">{#N/A,#N/A,FALSE,"단축1";#N/A,#N/A,FALSE,"단축2";#N/A,#N/A,FALSE,"단축3";#N/A,#N/A,FALSE,"장축";#N/A,#N/A,FALSE,"4WD"}</definedName>
    <definedName name="ㄴㅇㅇㄹㄴㄴㄹㅇ" localSheetId="1" hidden="1">{"targetdcf",#N/A,FALSE,"Merger consequences";"TARGETASSU",#N/A,FALSE,"Merger consequences";"TERMINAL VALUE",#N/A,FALSE,"Merger consequences"}</definedName>
    <definedName name="ㄴㅇㅇㄹㄴㄴㄹㅇ" localSheetId="3" hidden="1">{"targetdcf",#N/A,FALSE,"Merger consequences";"TARGETASSU",#N/A,FALSE,"Merger consequences";"TERMINAL VALUE",#N/A,FALSE,"Merger consequences"}</definedName>
    <definedName name="ㄴㅇㅇㄹㄴㄴㄹㅇ" localSheetId="0" hidden="1">{"targetdcf",#N/A,FALSE,"Merger consequences";"TARGETASSU",#N/A,FALSE,"Merger consequences";"TERMINAL VALUE",#N/A,FALSE,"Merger consequences"}</definedName>
    <definedName name="ㄴㅇㅇㄹㄴㄴㄹㅇ" hidden="1">{"targetdcf",#N/A,FALSE,"Merger consequences";"TARGETASSU",#N/A,FALSE,"Merger consequences";"TERMINAL VALUE",#N/A,FALSE,"Merger consequences"}</definedName>
    <definedName name="ㄴㅇㅇㄹㄴㅇㄹ" localSheetId="1" hidden="1">{"qchm_dcf",#N/A,FALSE,"QCHMDCF2";"qchm_terminal",#N/A,FALSE,"QCHMDCF2"}</definedName>
    <definedName name="ㄴㅇㅇㄹㄴㅇㄹ" localSheetId="3" hidden="1">{"qchm_dcf",#N/A,FALSE,"QCHMDCF2";"qchm_terminal",#N/A,FALSE,"QCHMDCF2"}</definedName>
    <definedName name="ㄴㅇㅇㄹㄴㅇㄹ" localSheetId="0" hidden="1">{"qchm_dcf",#N/A,FALSE,"QCHMDCF2";"qchm_terminal",#N/A,FALSE,"QCHMDCF2"}</definedName>
    <definedName name="ㄴㅇㅇㄹㄴㅇㄹ" hidden="1">{"qchm_dcf",#N/A,FALSE,"QCHMDCF2";"qchm_terminal",#N/A,FALSE,"QCHMDCF2"}</definedName>
    <definedName name="ㄴㅋ" localSheetId="1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내구현황2" localSheetId="1" hidden="1">{#N/A,#N/A,FALSE,"단축1";#N/A,#N/A,FALSE,"단축2";#N/A,#N/A,FALSE,"단축3";#N/A,#N/A,FALSE,"장축";#N/A,#N/A,FALSE,"4WD"}</definedName>
    <definedName name="내구현황2" localSheetId="3" hidden="1">{#N/A,#N/A,FALSE,"단축1";#N/A,#N/A,FALSE,"단축2";#N/A,#N/A,FALSE,"단축3";#N/A,#N/A,FALSE,"장축";#N/A,#N/A,FALSE,"4WD"}</definedName>
    <definedName name="내구현황2" localSheetId="0" hidden="1">{#N/A,#N/A,FALSE,"단축1";#N/A,#N/A,FALSE,"단축2";#N/A,#N/A,FALSE,"단축3";#N/A,#N/A,FALSE,"장축";#N/A,#N/A,FALSE,"4WD"}</definedName>
    <definedName name="내구현황2" hidden="1">{#N/A,#N/A,FALSE,"단축1";#N/A,#N/A,FALSE,"단축2";#N/A,#N/A,FALSE,"단축3";#N/A,#N/A,FALSE,"장축";#N/A,#N/A,FALSE,"4WD"}</definedName>
    <definedName name="너" localSheetId="1" hidden="1">{#N/A,#N/A,FALSE,"단축1";#N/A,#N/A,FALSE,"단축2";#N/A,#N/A,FALSE,"단축3";#N/A,#N/A,FALSE,"장축";#N/A,#N/A,FALSE,"4WD"}</definedName>
    <definedName name="너" localSheetId="3" hidden="1">{#N/A,#N/A,FALSE,"단축1";#N/A,#N/A,FALSE,"단축2";#N/A,#N/A,FALSE,"단축3";#N/A,#N/A,FALSE,"장축";#N/A,#N/A,FALSE,"4WD"}</definedName>
    <definedName name="너" localSheetId="0" hidden="1">{#N/A,#N/A,FALSE,"단축1";#N/A,#N/A,FALSE,"단축2";#N/A,#N/A,FALSE,"단축3";#N/A,#N/A,FALSE,"장축";#N/A,#N/A,FALSE,"4WD"}</definedName>
    <definedName name="너" hidden="1">{#N/A,#N/A,FALSE,"단축1";#N/A,#N/A,FALSE,"단축2";#N/A,#N/A,FALSE,"단축3";#N/A,#N/A,FALSE,"장축";#N/A,#N/A,FALSE,"4WD"}</definedName>
    <definedName name="네" localSheetId="1" hidden="1">{#N/A,#N/A,FALSE,"단축1";#N/A,#N/A,FALSE,"단축2";#N/A,#N/A,FALSE,"단축3";#N/A,#N/A,FALSE,"장축";#N/A,#N/A,FALSE,"4WD"}</definedName>
    <definedName name="네" localSheetId="3" hidden="1">{#N/A,#N/A,FALSE,"단축1";#N/A,#N/A,FALSE,"단축2";#N/A,#N/A,FALSE,"단축3";#N/A,#N/A,FALSE,"장축";#N/A,#N/A,FALSE,"4WD"}</definedName>
    <definedName name="네" localSheetId="0" hidden="1">{#N/A,#N/A,FALSE,"단축1";#N/A,#N/A,FALSE,"단축2";#N/A,#N/A,FALSE,"단축3";#N/A,#N/A,FALSE,"장축";#N/A,#N/A,FALSE,"4WD"}</definedName>
    <definedName name="네" hidden="1">{#N/A,#N/A,FALSE,"단축1";#N/A,#N/A,FALSE,"단축2";#N/A,#N/A,FALSE,"단축3";#N/A,#N/A,FALSE,"장축";#N/A,#N/A,FALSE,"4WD"}</definedName>
    <definedName name="ㄷㄷ" localSheetId="1" hidden="1">{#N/A,#N/A,TRUE,"Y생산";#N/A,#N/A,TRUE,"Y판매";#N/A,#N/A,TRUE,"Y총물량";#N/A,#N/A,TRUE,"Y능력";#N/A,#N/A,TRUE,"YKD"}</definedName>
    <definedName name="ㄷㄷ" localSheetId="3" hidden="1">{#N/A,#N/A,TRUE,"Y생산";#N/A,#N/A,TRUE,"Y판매";#N/A,#N/A,TRUE,"Y총물량";#N/A,#N/A,TRUE,"Y능력";#N/A,#N/A,TRUE,"YKD"}</definedName>
    <definedName name="ㄷㄷ" localSheetId="0" hidden="1">{#N/A,#N/A,TRUE,"Y생산";#N/A,#N/A,TRUE,"Y판매";#N/A,#N/A,TRUE,"Y총물량";#N/A,#N/A,TRUE,"Y능력";#N/A,#N/A,TRUE,"YKD"}</definedName>
    <definedName name="ㄷㄷ" hidden="1">{#N/A,#N/A,TRUE,"Y생산";#N/A,#N/A,TRUE,"Y판매";#N/A,#N/A,TRUE,"Y총물량";#N/A,#N/A,TRUE,"Y능력";#N/A,#N/A,TRUE,"YKD"}</definedName>
    <definedName name="ㄷㄷㄷ" localSheetId="1" hidden="1">{"'표지'!$B$5"}</definedName>
    <definedName name="ㄷㄷㄷ" localSheetId="3" hidden="1">{"'표지'!$B$5"}</definedName>
    <definedName name="ㄷㄷㄷ" localSheetId="0" hidden="1">{"'표지'!$B$5"}</definedName>
    <definedName name="ㄷㄷㄷ" hidden="1">{"'표지'!$B$5"}</definedName>
    <definedName name="ㄷㅇ" localSheetId="1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localSheetId="0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다른것" localSheetId="1" hidden="1">{"targetdcf",#N/A,FALSE,"Merger consequences";"TARGETASSU",#N/A,FALSE,"Merger consequences";"TERMINAL VALUE",#N/A,FALSE,"Merger consequences"}</definedName>
    <definedName name="다른것" localSheetId="3" hidden="1">{"targetdcf",#N/A,FALSE,"Merger consequences";"TARGETASSU",#N/A,FALSE,"Merger consequences";"TERMINAL VALUE",#N/A,FALSE,"Merger consequences"}</definedName>
    <definedName name="다른것" localSheetId="0" hidden="1">{"targetdcf",#N/A,FALSE,"Merger consequences";"TARGETASSU",#N/A,FALSE,"Merger consequences";"TERMINAL VALUE",#N/A,FALSE,"Merger consequences"}</definedName>
    <definedName name="다른것" hidden="1">{"targetdcf",#N/A,FALSE,"Merger consequences";"TARGETASSU",#N/A,FALSE,"Merger consequences";"TERMINAL VALUE",#N/A,FALSE,"Merger consequences"}</definedName>
    <definedName name="단가기준" localSheetId="1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localSheetId="0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1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localSheetId="0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별조정" localSheetId="1" hidden="1">{#N/A,#N/A,FALSE,"신규dep";#N/A,#N/A,FALSE,"신규dep-금형상각후";#N/A,#N/A,FALSE,"신규dep-연구비상각후";#N/A,#N/A,FALSE,"신규dep-기계,공구상각후"}</definedName>
    <definedName name="담당별조정" localSheetId="3" hidden="1">{#N/A,#N/A,FALSE,"신규dep";#N/A,#N/A,FALSE,"신규dep-금형상각후";#N/A,#N/A,FALSE,"신규dep-연구비상각후";#N/A,#N/A,FALSE,"신규dep-기계,공구상각후"}</definedName>
    <definedName name="담당별조정" localSheetId="0" hidden="1">{#N/A,#N/A,FALSE,"신규dep";#N/A,#N/A,FALSE,"신규dep-금형상각후";#N/A,#N/A,FALSE,"신규dep-연구비상각후";#N/A,#N/A,FALSE,"신규dep-기계,공구상각후"}</definedName>
    <definedName name="담당별조정" hidden="1">{#N/A,#N/A,FALSE,"신규dep";#N/A,#N/A,FALSE,"신규dep-금형상각후";#N/A,#N/A,FALSE,"신규dep-연구비상각후";#N/A,#N/A,FALSE,"신규dep-기계,공구상각후"}</definedName>
    <definedName name="대상" localSheetId="1" hidden="1">{#N/A,#N/A,FALSE,"단축1";#N/A,#N/A,FALSE,"단축2";#N/A,#N/A,FALSE,"단축3";#N/A,#N/A,FALSE,"장축";#N/A,#N/A,FALSE,"4WD"}</definedName>
    <definedName name="대상" localSheetId="3" hidden="1">{#N/A,#N/A,FALSE,"단축1";#N/A,#N/A,FALSE,"단축2";#N/A,#N/A,FALSE,"단축3";#N/A,#N/A,FALSE,"장축";#N/A,#N/A,FALSE,"4WD"}</definedName>
    <definedName name="대상" localSheetId="0" hidden="1">{#N/A,#N/A,FALSE,"단축1";#N/A,#N/A,FALSE,"단축2";#N/A,#N/A,FALSE,"단축3";#N/A,#N/A,FALSE,"장축";#N/A,#N/A,FALSE,"4WD"}</definedName>
    <definedName name="대상" hidden="1">{#N/A,#N/A,FALSE,"단축1";#N/A,#N/A,FALSE,"단축2";#N/A,#N/A,FALSE,"단축3";#N/A,#N/A,FALSE,"장축";#N/A,#N/A,FALSE,"4WD"}</definedName>
    <definedName name="대차대조표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대차대조표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대차대조표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대차대조표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도면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도면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도면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도면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도어" localSheetId="1" hidden="1">[8]CAUDIT!#REF!</definedName>
    <definedName name="도어" hidden="1">[8]CAUDIT!#REF!</definedName>
    <definedName name="도어1" localSheetId="1" hidden="1">[8]CAUDIT!#REF!</definedName>
    <definedName name="도어1" hidden="1">[8]CAUDIT!#REF!</definedName>
    <definedName name="도장" localSheetId="1" hidden="1">{#N/A,#N/A,FALSE,"단축1";#N/A,#N/A,FALSE,"단축2";#N/A,#N/A,FALSE,"단축3";#N/A,#N/A,FALSE,"장축";#N/A,#N/A,FALSE,"4WD"}</definedName>
    <definedName name="도장" localSheetId="3" hidden="1">{#N/A,#N/A,FALSE,"단축1";#N/A,#N/A,FALSE,"단축2";#N/A,#N/A,FALSE,"단축3";#N/A,#N/A,FALSE,"장축";#N/A,#N/A,FALSE,"4WD"}</definedName>
    <definedName name="도장" localSheetId="0" hidden="1">{#N/A,#N/A,FALSE,"단축1";#N/A,#N/A,FALSE,"단축2";#N/A,#N/A,FALSE,"단축3";#N/A,#N/A,FALSE,"장축";#N/A,#N/A,FALSE,"4WD"}</definedName>
    <definedName name="도장" hidden="1">{#N/A,#N/A,FALSE,"단축1";#N/A,#N/A,FALSE,"단축2";#N/A,#N/A,FALSE,"단축3";#N/A,#N/A,FALSE,"장축";#N/A,#N/A,FALSE,"4WD"}</definedName>
    <definedName name="도장1" localSheetId="1" hidden="1">{#N/A,#N/A,FALSE,"단축1";#N/A,#N/A,FALSE,"단축2";#N/A,#N/A,FALSE,"단축3";#N/A,#N/A,FALSE,"장축";#N/A,#N/A,FALSE,"4WD"}</definedName>
    <definedName name="도장1" localSheetId="3" hidden="1">{#N/A,#N/A,FALSE,"단축1";#N/A,#N/A,FALSE,"단축2";#N/A,#N/A,FALSE,"단축3";#N/A,#N/A,FALSE,"장축";#N/A,#N/A,FALSE,"4WD"}</definedName>
    <definedName name="도장1" localSheetId="0" hidden="1">{#N/A,#N/A,FALSE,"단축1";#N/A,#N/A,FALSE,"단축2";#N/A,#N/A,FALSE,"단축3";#N/A,#N/A,FALSE,"장축";#N/A,#N/A,FALSE,"4WD"}</definedName>
    <definedName name="도장1" hidden="1">{#N/A,#N/A,FALSE,"단축1";#N/A,#N/A,FALSE,"단축2";#N/A,#N/A,FALSE,"단축3";#N/A,#N/A,FALSE,"장축";#N/A,#N/A,FALSE,"4WD"}</definedName>
    <definedName name="디젤1" localSheetId="1" hidden="1">{#N/A,#N/A,FALSE,"단축1";#N/A,#N/A,FALSE,"단축2";#N/A,#N/A,FALSE,"단축3";#N/A,#N/A,FALSE,"장축";#N/A,#N/A,FALSE,"4WD"}</definedName>
    <definedName name="디젤1" localSheetId="3" hidden="1">{#N/A,#N/A,FALSE,"단축1";#N/A,#N/A,FALSE,"단축2";#N/A,#N/A,FALSE,"단축3";#N/A,#N/A,FALSE,"장축";#N/A,#N/A,FALSE,"4WD"}</definedName>
    <definedName name="디젤1" localSheetId="0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ㄹ" localSheetId="1" hidden="1">{#N/A,#N/A,TRUE,"Y생산";#N/A,#N/A,TRUE,"Y판매";#N/A,#N/A,TRUE,"Y총물량";#N/A,#N/A,TRUE,"Y능력";#N/A,#N/A,TRUE,"YKD"}</definedName>
    <definedName name="ㄹ" localSheetId="3" hidden="1">{#N/A,#N/A,TRUE,"Y생산";#N/A,#N/A,TRUE,"Y판매";#N/A,#N/A,TRUE,"Y총물량";#N/A,#N/A,TRUE,"Y능력";#N/A,#N/A,TRUE,"YKD"}</definedName>
    <definedName name="ㄹ" localSheetId="0" hidden="1">{#N/A,#N/A,TRUE,"Y생산";#N/A,#N/A,TRUE,"Y판매";#N/A,#N/A,TRUE,"Y총물량";#N/A,#N/A,TRUE,"Y능력";#N/A,#N/A,TRUE,"YKD"}</definedName>
    <definedName name="ㄹ" hidden="1">{#N/A,#N/A,TRUE,"Y생산";#N/A,#N/A,TRUE,"Y판매";#N/A,#N/A,TRUE,"Y총물량";#N/A,#N/A,TRUE,"Y능력";#N/A,#N/A,TRUE,"YKD"}</definedName>
    <definedName name="ㄹㄴㅇ러ㅏ" localSheetId="1" hidden="1">{#N/A,#N/A,FALSE,"단축1";#N/A,#N/A,FALSE,"단축2";#N/A,#N/A,FALSE,"단축3";#N/A,#N/A,FALSE,"장축";#N/A,#N/A,FALSE,"4WD"}</definedName>
    <definedName name="ㄹㄴㅇ러ㅏ" localSheetId="3" hidden="1">{#N/A,#N/A,FALSE,"단축1";#N/A,#N/A,FALSE,"단축2";#N/A,#N/A,FALSE,"단축3";#N/A,#N/A,FALSE,"장축";#N/A,#N/A,FALSE,"4WD"}</definedName>
    <definedName name="ㄹㄴㅇ러ㅏ" localSheetId="0" hidden="1">{#N/A,#N/A,FALSE,"단축1";#N/A,#N/A,FALSE,"단축2";#N/A,#N/A,FALSE,"단축3";#N/A,#N/A,FALSE,"장축";#N/A,#N/A,FALSE,"4WD"}</definedName>
    <definedName name="ㄹㄴㅇ러ㅏ" hidden="1">{#N/A,#N/A,FALSE,"단축1";#N/A,#N/A,FALSE,"단축2";#N/A,#N/A,FALSE,"단축3";#N/A,#N/A,FALSE,"장축";#N/A,#N/A,FALSE,"4WD"}</definedName>
    <definedName name="ㄹㄹㄽ" localSheetId="1" hidden="1">{#N/A,#N/A,FALSE,"유첨2-1";#N/A,#N/A,FALSE,"2-2";#N/A,#N/A,FALSE,"2-3";#N/A,#N/A,FALSE,"2-4";#N/A,#N/A,FALSE,"2-5";#N/A,#N/A,FALSE,"2-6";#N/A,#N/A,FALSE,"2-7";#N/A,#N/A,FALSE,"2-8";#N/A,#N/A,FALSE,"2-9"}</definedName>
    <definedName name="ㄹㄹㄽ" localSheetId="3" hidden="1">{#N/A,#N/A,FALSE,"유첨2-1";#N/A,#N/A,FALSE,"2-2";#N/A,#N/A,FALSE,"2-3";#N/A,#N/A,FALSE,"2-4";#N/A,#N/A,FALSE,"2-5";#N/A,#N/A,FALSE,"2-6";#N/A,#N/A,FALSE,"2-7";#N/A,#N/A,FALSE,"2-8";#N/A,#N/A,FALSE,"2-9"}</definedName>
    <definedName name="ㄹㄹㄽ" localSheetId="0" hidden="1">{#N/A,#N/A,FALSE,"유첨2-1";#N/A,#N/A,FALSE,"2-2";#N/A,#N/A,FALSE,"2-3";#N/A,#N/A,FALSE,"2-4";#N/A,#N/A,FALSE,"2-5";#N/A,#N/A,FALSE,"2-6";#N/A,#N/A,FALSE,"2-7";#N/A,#N/A,FALSE,"2-8";#N/A,#N/A,FALSE,"2-9"}</definedName>
    <definedName name="ㄹㄹㄽ" hidden="1">{#N/A,#N/A,FALSE,"유첨2-1";#N/A,#N/A,FALSE,"2-2";#N/A,#N/A,FALSE,"2-3";#N/A,#N/A,FALSE,"2-4";#N/A,#N/A,FALSE,"2-5";#N/A,#N/A,FALSE,"2-6";#N/A,#N/A,FALSE,"2-7";#N/A,#N/A,FALSE,"2-8";#N/A,#N/A,FALSE,"2-9"}</definedName>
    <definedName name="ㄹ로어" localSheetId="1" hidden="1">{"targetdcf",#N/A,FALSE,"Merger consequences";"TARGETASSU",#N/A,FALSE,"Merger consequences";"TERMINAL VALUE",#N/A,FALSE,"Merger consequences"}</definedName>
    <definedName name="ㄹ로어" localSheetId="3" hidden="1">{"targetdcf",#N/A,FALSE,"Merger consequences";"TARGETASSU",#N/A,FALSE,"Merger consequences";"TERMINAL VALUE",#N/A,FALSE,"Merger consequences"}</definedName>
    <definedName name="ㄹ로어" localSheetId="0" hidden="1">{"targetdcf",#N/A,FALSE,"Merger consequences";"TARGETASSU",#N/A,FALSE,"Merger consequences";"TERMINAL VALUE",#N/A,FALSE,"Merger consequences"}</definedName>
    <definedName name="ㄹ로어" hidden="1">{"targetdcf",#N/A,FALSE,"Merger consequences";"TARGETASSU",#N/A,FALSE,"Merger consequences";"TERMINAL VALUE",#N/A,FALSE,"Merger consequences"}</definedName>
    <definedName name="ㄹㅇ" localSheetId="1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localSheetId="0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호ㅓㅓ" localSheetId="1" hidden="1">{#N/A,#N/A,FALSE,"단축1";#N/A,#N/A,FALSE,"단축2";#N/A,#N/A,FALSE,"단축3";#N/A,#N/A,FALSE,"장축";#N/A,#N/A,FALSE,"4WD"}</definedName>
    <definedName name="ㄹ호ㅓㅓ" localSheetId="3" hidden="1">{#N/A,#N/A,FALSE,"단축1";#N/A,#N/A,FALSE,"단축2";#N/A,#N/A,FALSE,"단축3";#N/A,#N/A,FALSE,"장축";#N/A,#N/A,FALSE,"4WD"}</definedName>
    <definedName name="ㄹ호ㅓㅓ" localSheetId="0" hidden="1">{#N/A,#N/A,FALSE,"단축1";#N/A,#N/A,FALSE,"단축2";#N/A,#N/A,FALSE,"단축3";#N/A,#N/A,FALSE,"장축";#N/A,#N/A,FALSE,"4WD"}</definedName>
    <definedName name="ㄹ호ㅓㅓ" hidden="1">{#N/A,#N/A,FALSE,"단축1";#N/A,#N/A,FALSE,"단축2";#N/A,#N/A,FALSE,"단축3";#N/A,#N/A,FALSE,"장축";#N/A,#N/A,FALSE,"4WD"}</definedName>
    <definedName name="ㄹ히" localSheetId="1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localSheetId="0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랑랑" localSheetId="1" hidden="1">{#N/A,#N/A,FALSE,"단축1";#N/A,#N/A,FALSE,"단축2";#N/A,#N/A,FALSE,"단축3";#N/A,#N/A,FALSE,"장축";#N/A,#N/A,FALSE,"4WD"}</definedName>
    <definedName name="랑랑" localSheetId="3" hidden="1">{#N/A,#N/A,FALSE,"단축1";#N/A,#N/A,FALSE,"단축2";#N/A,#N/A,FALSE,"단축3";#N/A,#N/A,FALSE,"장축";#N/A,#N/A,FALSE,"4WD"}</definedName>
    <definedName name="랑랑" localSheetId="0" hidden="1">{#N/A,#N/A,FALSE,"단축1";#N/A,#N/A,FALSE,"단축2";#N/A,#N/A,FALSE,"단축3";#N/A,#N/A,FALSE,"장축";#N/A,#N/A,FALSE,"4WD"}</definedName>
    <definedName name="랑랑" hidden="1">{#N/A,#N/A,FALSE,"단축1";#N/A,#N/A,FALSE,"단축2";#N/A,#N/A,FALSE,"단축3";#N/A,#N/A,FALSE,"장축";#N/A,#N/A,FALSE,"4WD"}</definedName>
    <definedName name="러시아" localSheetId="1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localSheetId="0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레이아웃" localSheetId="3" hidden="1">#REF!</definedName>
    <definedName name="레이아웃" hidden="1">#REF!</definedName>
    <definedName name="로커망러ㅏ" localSheetId="1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localSheetId="0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루" localSheetId="1" hidden="1">{#N/A,#N/A,FALSE,"단축1";#N/A,#N/A,FALSE,"단축2";#N/A,#N/A,FALSE,"단축3";#N/A,#N/A,FALSE,"장축";#N/A,#N/A,FALSE,"4WD"}</definedName>
    <definedName name="루" localSheetId="3" hidden="1">{#N/A,#N/A,FALSE,"단축1";#N/A,#N/A,FALSE,"단축2";#N/A,#N/A,FALSE,"단축3";#N/A,#N/A,FALSE,"장축";#N/A,#N/A,FALSE,"4WD"}</definedName>
    <definedName name="루" localSheetId="0" hidden="1">{#N/A,#N/A,FALSE,"단축1";#N/A,#N/A,FALSE,"단축2";#N/A,#N/A,FALSE,"단축3";#N/A,#N/A,FALSE,"장축";#N/A,#N/A,FALSE,"4WD"}</definedName>
    <definedName name="루" hidden="1">{#N/A,#N/A,FALSE,"단축1";#N/A,#N/A,FALSE,"단축2";#N/A,#N/A,FALSE,"단축3";#N/A,#N/A,FALSE,"장축";#N/A,#N/A,FALSE,"4WD"}</definedName>
    <definedName name="ㅀ로" localSheetId="1" hidden="1">{#N/A,#N/A,FALSE,"단축1";#N/A,#N/A,FALSE,"단축2";#N/A,#N/A,FALSE,"단축3";#N/A,#N/A,FALSE,"장축";#N/A,#N/A,FALSE,"4WD"}</definedName>
    <definedName name="ㅀ로" localSheetId="3" hidden="1">{#N/A,#N/A,FALSE,"단축1";#N/A,#N/A,FALSE,"단축2";#N/A,#N/A,FALSE,"단축3";#N/A,#N/A,FALSE,"장축";#N/A,#N/A,FALSE,"4WD"}</definedName>
    <definedName name="ㅀ로" localSheetId="0" hidden="1">{#N/A,#N/A,FALSE,"단축1";#N/A,#N/A,FALSE,"단축2";#N/A,#N/A,FALSE,"단축3";#N/A,#N/A,FALSE,"장축";#N/A,#N/A,FALSE,"4WD"}</definedName>
    <definedName name="ㅀ로" hidden="1">{#N/A,#N/A,FALSE,"단축1";#N/A,#N/A,FALSE,"단축2";#N/A,#N/A,FALSE,"단축3";#N/A,#N/A,FALSE,"장축";#N/A,#N/A,FALSE,"4WD"}</definedName>
    <definedName name="ㅀㅇ" localSheetId="3" hidden="1">#REF!</definedName>
    <definedName name="ㅀㅇ" hidden="1">#REF!</definedName>
    <definedName name="ㅁㄴ" localSheetId="3" hidden="1">#REF!</definedName>
    <definedName name="ㅁㄴ" hidden="1">#REF!</definedName>
    <definedName name="ㅁㄴㄴㅇ" localSheetId="1" hidden="1">{"targetdcf",#N/A,FALSE,"Merger consequences";"TARGETASSU",#N/A,FALSE,"Merger consequences";"TERMINAL VALUE",#N/A,FALSE,"Merger consequences"}</definedName>
    <definedName name="ㅁㄴㄴㅇ" localSheetId="3" hidden="1">{"targetdcf",#N/A,FALSE,"Merger consequences";"TARGETASSU",#N/A,FALSE,"Merger consequences";"TERMINAL VALUE",#N/A,FALSE,"Merger consequences"}</definedName>
    <definedName name="ㅁㄴㄴㅇ" localSheetId="0" hidden="1">{"targetdcf",#N/A,FALSE,"Merger consequences";"TARGETASSU",#N/A,FALSE,"Merger consequences";"TERMINAL VALUE",#N/A,FALSE,"Merger consequences"}</definedName>
    <definedName name="ㅁㄴㄴㅇ" hidden="1">{"targetdcf",#N/A,FALSE,"Merger consequences";"TARGETASSU",#N/A,FALSE,"Merger consequences";"TERMINAL VALUE",#N/A,FALSE,"Merger consequences"}</definedName>
    <definedName name="ㅁㄴㄻㄴㄹㄴㅇ" localSheetId="1" hidden="1">{"qchm_dcf",#N/A,FALSE,"QCHMDCF2";"qchm_terminal",#N/A,FALSE,"QCHMDCF2"}</definedName>
    <definedName name="ㅁㄴㄻㄴㄹㄴㅇ" localSheetId="3" hidden="1">{"qchm_dcf",#N/A,FALSE,"QCHMDCF2";"qchm_terminal",#N/A,FALSE,"QCHMDCF2"}</definedName>
    <definedName name="ㅁㄴㄻㄴㄹㄴㅇ" localSheetId="0" hidden="1">{"qchm_dcf",#N/A,FALSE,"QCHMDCF2";"qchm_terminal",#N/A,FALSE,"QCHMDCF2"}</definedName>
    <definedName name="ㅁㄴㄻㄴㄹㄴㅇ" hidden="1">{"qchm_dcf",#N/A,FALSE,"QCHMDCF2";"qchm_terminal",#N/A,FALSE,"QCHMDCF2"}</definedName>
    <definedName name="ㅁㄴㅁㄴ" localSheetId="1" hidden="1">{"Acq_matrix",#N/A,FALSE,"Acquisition Matrix"}</definedName>
    <definedName name="ㅁㄴㅁㄴ" localSheetId="3" hidden="1">{"Acq_matrix",#N/A,FALSE,"Acquisition Matrix"}</definedName>
    <definedName name="ㅁㄴㅁㄴ" localSheetId="0" hidden="1">{"Acq_matrix",#N/A,FALSE,"Acquisition Matrix"}</definedName>
    <definedName name="ㅁㄴㅁㄴ" hidden="1">{"Acq_matrix",#N/A,FALSE,"Acquisition Matrix"}</definedName>
    <definedName name="ㅁㄴㅇㄴㄹ" localSheetId="1" hidden="1">{"targetdcf",#N/A,FALSE,"Merger consequences";"TARGETASSU",#N/A,FALSE,"Merger consequences";"TERMINAL VALUE",#N/A,FALSE,"Merger consequences"}</definedName>
    <definedName name="ㅁㄴㅇㄴㄹ" localSheetId="3" hidden="1">{"targetdcf",#N/A,FALSE,"Merger consequences";"TARGETASSU",#N/A,FALSE,"Merger consequences";"TERMINAL VALUE",#N/A,FALSE,"Merger consequences"}</definedName>
    <definedName name="ㅁㄴㅇㄴㄹ" localSheetId="0" hidden="1">{"targetdcf",#N/A,FALSE,"Merger consequences";"TARGETASSU",#N/A,FALSE,"Merger consequences";"TERMINAL VALUE",#N/A,FALSE,"Merger consequences"}</definedName>
    <definedName name="ㅁㄴㅇㄴㄹ" hidden="1">{"targetdcf",#N/A,FALSE,"Merger consequences";"TARGETASSU",#N/A,FALSE,"Merger consequences";"TERMINAL VALUE",#N/A,FALSE,"Merger consequences"}</definedName>
    <definedName name="ㅁㅇ" localSheetId="1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localSheetId="0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ㄴㄻㄴ" localSheetId="1" hidden="1">{"AQUIRORDCF",#N/A,FALSE,"Merger consequences";"Acquirorassns",#N/A,FALSE,"Merger consequences"}</definedName>
    <definedName name="ㅁㅇㄴㄻㄴ" localSheetId="3" hidden="1">{"AQUIRORDCF",#N/A,FALSE,"Merger consequences";"Acquirorassns",#N/A,FALSE,"Merger consequences"}</definedName>
    <definedName name="ㅁㅇㄴㄻㄴ" localSheetId="0" hidden="1">{"AQUIRORDCF",#N/A,FALSE,"Merger consequences";"Acquirorassns",#N/A,FALSE,"Merger consequences"}</definedName>
    <definedName name="ㅁㅇㄴㄻㄴ" hidden="1">{"AQUIRORDCF",#N/A,FALSE,"Merger consequences";"Acquirorassns",#N/A,FALSE,"Merger consequences"}</definedName>
    <definedName name="ㅁㅇㄹ" localSheetId="1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ㅈㅂㅈㅂ" localSheetId="3" hidden="1">#REF!</definedName>
    <definedName name="ㅁㅈㅂㅈㅂ" hidden="1">#REF!</definedName>
    <definedName name="말자" localSheetId="1" hidden="1">{#N/A,#N/A,FALSE,"단축1";#N/A,#N/A,FALSE,"단축2";#N/A,#N/A,FALSE,"단축3";#N/A,#N/A,FALSE,"장축";#N/A,#N/A,FALSE,"4WD"}</definedName>
    <definedName name="말자" localSheetId="3" hidden="1">{#N/A,#N/A,FALSE,"단축1";#N/A,#N/A,FALSE,"단축2";#N/A,#N/A,FALSE,"단축3";#N/A,#N/A,FALSE,"장축";#N/A,#N/A,FALSE,"4WD"}</definedName>
    <definedName name="말자" localSheetId="0" hidden="1">{#N/A,#N/A,FALSE,"단축1";#N/A,#N/A,FALSE,"단축2";#N/A,#N/A,FALSE,"단축3";#N/A,#N/A,FALSE,"장축";#N/A,#N/A,FALSE,"4WD"}</definedName>
    <definedName name="말자" hidden="1">{#N/A,#N/A,FALSE,"단축1";#N/A,#N/A,FALSE,"단축2";#N/A,#N/A,FALSE,"단축3";#N/A,#N/A,FALSE,"장축";#N/A,#N/A,FALSE,"4WD"}</definedName>
    <definedName name="매출" localSheetId="1" hidden="1">{#N/A,#N/A,FALSE,"표지";#N/A,#N/A,FALSE,"1.손익현황";#N/A,#N/A,FALSE,"첨1.손익분석";#N/A,#N/A,FALSE,"2.재무재표";#N/A,#N/A,FALSE,"3.자금현황";#N/A,#N/A,FALSE,"4.생산판매"}</definedName>
    <definedName name="매출" localSheetId="3" hidden="1">{#N/A,#N/A,FALSE,"표지";#N/A,#N/A,FALSE,"1.손익현황";#N/A,#N/A,FALSE,"첨1.손익분석";#N/A,#N/A,FALSE,"2.재무재표";#N/A,#N/A,FALSE,"3.자금현황";#N/A,#N/A,FALSE,"4.생산판매"}</definedName>
    <definedName name="매출" localSheetId="0" hidden="1">{#N/A,#N/A,FALSE,"표지";#N/A,#N/A,FALSE,"1.손익현황";#N/A,#N/A,FALSE,"첨1.손익분석";#N/A,#N/A,FALSE,"2.재무재표";#N/A,#N/A,FALSE,"3.자금현황";#N/A,#N/A,FALSE,"4.생산판매"}</definedName>
    <definedName name="매출" hidden="1">{#N/A,#N/A,FALSE,"표지";#N/A,#N/A,FALSE,"1.손익현황";#N/A,#N/A,FALSE,"첨1.손익분석";#N/A,#N/A,FALSE,"2.재무재표";#N/A,#N/A,FALSE,"3.자금현황";#N/A,#N/A,FALSE,"4.생산판매"}</definedName>
    <definedName name="매출단가" localSheetId="1" hidden="1">{#N/A,#N/A,FALSE,"표지";#N/A,#N/A,FALSE,"1.손익현황";#N/A,#N/A,FALSE,"첨1.손익분석";#N/A,#N/A,FALSE,"2.재무재표";#N/A,#N/A,FALSE,"3.자금현황";#N/A,#N/A,FALSE,"4.생산판매"}</definedName>
    <definedName name="매출단가" localSheetId="3" hidden="1">{#N/A,#N/A,FALSE,"표지";#N/A,#N/A,FALSE,"1.손익현황";#N/A,#N/A,FALSE,"첨1.손익분석";#N/A,#N/A,FALSE,"2.재무재표";#N/A,#N/A,FALSE,"3.자금현황";#N/A,#N/A,FALSE,"4.생산판매"}</definedName>
    <definedName name="매출단가" localSheetId="0" hidden="1">{#N/A,#N/A,FALSE,"표지";#N/A,#N/A,FALSE,"1.손익현황";#N/A,#N/A,FALSE,"첨1.손익분석";#N/A,#N/A,FALSE,"2.재무재표";#N/A,#N/A,FALSE,"3.자금현황";#N/A,#N/A,FALSE,"4.생산판매"}</definedName>
    <definedName name="매출단가" hidden="1">{#N/A,#N/A,FALSE,"표지";#N/A,#N/A,FALSE,"1.손익현황";#N/A,#N/A,FALSE,"첨1.손익분석";#N/A,#N/A,FALSE,"2.재무재표";#N/A,#N/A,FALSE,"3.자금현황";#N/A,#N/A,FALSE,"4.생산판매"}</definedName>
    <definedName name="매출단가분석10월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매출단가분석10월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매출단가분석10월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매출단가분석10월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매출분석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매출분석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매출분석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매출분석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먀" localSheetId="1" hidden="1">{#N/A,#N/A,FALSE,"단축1";#N/A,#N/A,FALSE,"단축2";#N/A,#N/A,FALSE,"단축3";#N/A,#N/A,FALSE,"장축";#N/A,#N/A,FALSE,"4WD"}</definedName>
    <definedName name="먀" localSheetId="3" hidden="1">{#N/A,#N/A,FALSE,"단축1";#N/A,#N/A,FALSE,"단축2";#N/A,#N/A,FALSE,"단축3";#N/A,#N/A,FALSE,"장축";#N/A,#N/A,FALSE,"4WD"}</definedName>
    <definedName name="먀" localSheetId="0" hidden="1">{#N/A,#N/A,FALSE,"단축1";#N/A,#N/A,FALSE,"단축2";#N/A,#N/A,FALSE,"단축3";#N/A,#N/A,FALSE,"장축";#N/A,#N/A,FALSE,"4WD"}</definedName>
    <definedName name="먀" hidden="1">{#N/A,#N/A,FALSE,"단축1";#N/A,#N/A,FALSE,"단축2";#N/A,#N/A,FALSE,"단축3";#N/A,#N/A,FALSE,"장축";#N/A,#N/A,FALSE,"4WD"}</definedName>
    <definedName name="목차" localSheetId="1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목차" localSheetId="3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목차" localSheetId="0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목차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문제" localSheetId="1" hidden="1">{#N/A,#N/A,FALSE,"단축1";#N/A,#N/A,FALSE,"단축2";#N/A,#N/A,FALSE,"단축3";#N/A,#N/A,FALSE,"장축";#N/A,#N/A,FALSE,"4WD"}</definedName>
    <definedName name="문제" localSheetId="3" hidden="1">{#N/A,#N/A,FALSE,"단축1";#N/A,#N/A,FALSE,"단축2";#N/A,#N/A,FALSE,"단축3";#N/A,#N/A,FALSE,"장축";#N/A,#N/A,FALSE,"4WD"}</definedName>
    <definedName name="문제" localSheetId="0" hidden="1">{#N/A,#N/A,FALSE,"단축1";#N/A,#N/A,FALSE,"단축2";#N/A,#N/A,FALSE,"단축3";#N/A,#N/A,FALSE,"장축";#N/A,#N/A,FALSE,"4WD"}</definedName>
    <definedName name="문제" hidden="1">{#N/A,#N/A,FALSE,"단축1";#N/A,#N/A,FALSE,"단축2";#N/A,#N/A,FALSE,"단축3";#N/A,#N/A,FALSE,"장축";#N/A,#N/A,FALSE,"4WD"}</definedName>
    <definedName name="문제점엔진" localSheetId="1" hidden="1">{#N/A,#N/A,FALSE,"단축1";#N/A,#N/A,FALSE,"단축2";#N/A,#N/A,FALSE,"단축3";#N/A,#N/A,FALSE,"장축";#N/A,#N/A,FALSE,"4WD"}</definedName>
    <definedName name="문제점엔진" localSheetId="3" hidden="1">{#N/A,#N/A,FALSE,"단축1";#N/A,#N/A,FALSE,"단축2";#N/A,#N/A,FALSE,"단축3";#N/A,#N/A,FALSE,"장축";#N/A,#N/A,FALSE,"4WD"}</definedName>
    <definedName name="문제점엔진" localSheetId="0" hidden="1">{#N/A,#N/A,FALSE,"단축1";#N/A,#N/A,FALSE,"단축2";#N/A,#N/A,FALSE,"단축3";#N/A,#N/A,FALSE,"장축";#N/A,#N/A,FALSE,"4WD"}</definedName>
    <definedName name="문제점엔진" hidden="1">{#N/A,#N/A,FALSE,"단축1";#N/A,#N/A,FALSE,"단축2";#N/A,#N/A,FALSE,"단축3";#N/A,#N/A,FALSE,"장축";#N/A,#N/A,FALSE,"4WD"}</definedName>
    <definedName name="물랴자" localSheetId="1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localSheetId="0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1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1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1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1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3" localSheetId="1" hidden="1">{#N/A,#N/A,TRUE,"Y생산";#N/A,#N/A,TRUE,"Y판매";#N/A,#N/A,TRUE,"Y총물량";#N/A,#N/A,TRUE,"Y능력";#N/A,#N/A,TRUE,"YKD"}</definedName>
    <definedName name="물량수정3" localSheetId="3" hidden="1">{#N/A,#N/A,TRUE,"Y생산";#N/A,#N/A,TRUE,"Y판매";#N/A,#N/A,TRUE,"Y총물량";#N/A,#N/A,TRUE,"Y능력";#N/A,#N/A,TRUE,"YKD"}</definedName>
    <definedName name="물량수정3" localSheetId="0" hidden="1">{#N/A,#N/A,TRUE,"Y생산";#N/A,#N/A,TRUE,"Y판매";#N/A,#N/A,TRUE,"Y총물량";#N/A,#N/A,TRUE,"Y능력";#N/A,#N/A,TRUE,"YKD"}</definedName>
    <definedName name="물량수정3" hidden="1">{#N/A,#N/A,TRUE,"Y생산";#N/A,#N/A,TRUE,"Y판매";#N/A,#N/A,TRUE,"Y총물량";#N/A,#N/A,TRUE,"Y능력";#N/A,#N/A,TRUE,"YKD"}</definedName>
    <definedName name="물량수정4" localSheetId="1" hidden="1">{#N/A,#N/A,TRUE,"Y생산";#N/A,#N/A,TRUE,"Y판매";#N/A,#N/A,TRUE,"Y총물량";#N/A,#N/A,TRUE,"Y능력";#N/A,#N/A,TRUE,"YKD"}</definedName>
    <definedName name="물량수정4" localSheetId="3" hidden="1">{#N/A,#N/A,TRUE,"Y생산";#N/A,#N/A,TRUE,"Y판매";#N/A,#N/A,TRUE,"Y총물량";#N/A,#N/A,TRUE,"Y능력";#N/A,#N/A,TRUE,"YKD"}</definedName>
    <definedName name="물량수정4" localSheetId="0" hidden="1">{#N/A,#N/A,TRUE,"Y생산";#N/A,#N/A,TRUE,"Y판매";#N/A,#N/A,TRUE,"Y총물량";#N/A,#N/A,TRUE,"Y능력";#N/A,#N/A,TRUE,"YKD"}</definedName>
    <definedName name="물량수정4" hidden="1">{#N/A,#N/A,TRUE,"Y생산";#N/A,#N/A,TRUE,"Y판매";#N/A,#N/A,TRUE,"Y총물량";#N/A,#N/A,TRUE,"Y능력";#N/A,#N/A,TRUE,"YKD"}</definedName>
    <definedName name="물량정" localSheetId="1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1" localSheetId="1" hidden="1">{#N/A,#N/A,TRUE,"Y생산";#N/A,#N/A,TRUE,"Y판매";#N/A,#N/A,TRUE,"Y총물량";#N/A,#N/A,TRUE,"Y능력";#N/A,#N/A,TRUE,"YKD"}</definedName>
    <definedName name="물량정1" localSheetId="3" hidden="1">{#N/A,#N/A,TRUE,"Y생산";#N/A,#N/A,TRUE,"Y판매";#N/A,#N/A,TRUE,"Y총물량";#N/A,#N/A,TRUE,"Y능력";#N/A,#N/A,TRUE,"YKD"}</definedName>
    <definedName name="물량정1" localSheetId="0" hidden="1">{#N/A,#N/A,TRUE,"Y생산";#N/A,#N/A,TRUE,"Y판매";#N/A,#N/A,TRUE,"Y총물량";#N/A,#N/A,TRUE,"Y능력";#N/A,#N/A,TRUE,"YKD"}</definedName>
    <definedName name="물량정1" hidden="1">{#N/A,#N/A,TRUE,"Y생산";#N/A,#N/A,TRUE,"Y판매";#N/A,#N/A,TRUE,"Y총물량";#N/A,#N/A,TRUE,"Y능력";#N/A,#N/A,TRUE,"YKD"}</definedName>
    <definedName name="물량조정" localSheetId="1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3" localSheetId="1" hidden="1">{#N/A,#N/A,TRUE,"Y생산";#N/A,#N/A,TRUE,"Y판매";#N/A,#N/A,TRUE,"Y총물량";#N/A,#N/A,TRUE,"Y능력";#N/A,#N/A,TRUE,"YKD"}</definedName>
    <definedName name="물량조정3" localSheetId="3" hidden="1">{#N/A,#N/A,TRUE,"Y생산";#N/A,#N/A,TRUE,"Y판매";#N/A,#N/A,TRUE,"Y총물량";#N/A,#N/A,TRUE,"Y능력";#N/A,#N/A,TRUE,"YKD"}</definedName>
    <definedName name="물량조정3" localSheetId="0" hidden="1">{#N/A,#N/A,TRUE,"Y생산";#N/A,#N/A,TRUE,"Y판매";#N/A,#N/A,TRUE,"Y총물량";#N/A,#N/A,TRUE,"Y능력";#N/A,#N/A,TRUE,"YKD"}</definedName>
    <definedName name="물량조정3" hidden="1">{#N/A,#N/A,TRUE,"Y생산";#N/A,#N/A,TRUE,"Y판매";#N/A,#N/A,TRUE,"Y총물량";#N/A,#N/A,TRUE,"Y능력";#N/A,#N/A,TRUE,"YKD"}</definedName>
    <definedName name="물수" localSheetId="1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뮻" localSheetId="1" hidden="1">{#N/A,#N/A,FALSE,"단축1";#N/A,#N/A,FALSE,"단축2";#N/A,#N/A,FALSE,"단축3";#N/A,#N/A,FALSE,"장축";#N/A,#N/A,FALSE,"4WD"}</definedName>
    <definedName name="뮻" localSheetId="3" hidden="1">{#N/A,#N/A,FALSE,"단축1";#N/A,#N/A,FALSE,"단축2";#N/A,#N/A,FALSE,"단축3";#N/A,#N/A,FALSE,"장축";#N/A,#N/A,FALSE,"4WD"}</definedName>
    <definedName name="뮻" localSheetId="0" hidden="1">{#N/A,#N/A,FALSE,"단축1";#N/A,#N/A,FALSE,"단축2";#N/A,#N/A,FALSE,"단축3";#N/A,#N/A,FALSE,"장축";#N/A,#N/A,FALSE,"4WD"}</definedName>
    <definedName name="뮻" hidden="1">{#N/A,#N/A,FALSE,"단축1";#N/A,#N/A,FALSE,"단축2";#N/A,#N/A,FALSE,"단축3";#N/A,#N/A,FALSE,"장축";#N/A,#N/A,FALSE,"4WD"}</definedName>
    <definedName name="미진" localSheetId="1" hidden="1">{#N/A,#N/A,FALSE,"단축1";#N/A,#N/A,FALSE,"단축2";#N/A,#N/A,FALSE,"단축3";#N/A,#N/A,FALSE,"장축";#N/A,#N/A,FALSE,"4WD"}</definedName>
    <definedName name="미진" localSheetId="3" hidden="1">{#N/A,#N/A,FALSE,"단축1";#N/A,#N/A,FALSE,"단축2";#N/A,#N/A,FALSE,"단축3";#N/A,#N/A,FALSE,"장축";#N/A,#N/A,FALSE,"4WD"}</definedName>
    <definedName name="미진" localSheetId="0" hidden="1">{#N/A,#N/A,FALSE,"단축1";#N/A,#N/A,FALSE,"단축2";#N/A,#N/A,FALSE,"단축3";#N/A,#N/A,FALSE,"장축";#N/A,#N/A,FALSE,"4WD"}</definedName>
    <definedName name="미진" hidden="1">{#N/A,#N/A,FALSE,"단축1";#N/A,#N/A,FALSE,"단축2";#N/A,#N/A,FALSE,"단축3";#N/A,#N/A,FALSE,"장축";#N/A,#N/A,FALSE,"4WD"}</definedName>
    <definedName name="밑그림" localSheetId="1" hidden="1">{#N/A,#N/A,FALSE,"단축1";#N/A,#N/A,FALSE,"단축2";#N/A,#N/A,FALSE,"단축3";#N/A,#N/A,FALSE,"장축";#N/A,#N/A,FALSE,"4WD"}</definedName>
    <definedName name="밑그림" localSheetId="3" hidden="1">{#N/A,#N/A,FALSE,"단축1";#N/A,#N/A,FALSE,"단축2";#N/A,#N/A,FALSE,"단축3";#N/A,#N/A,FALSE,"장축";#N/A,#N/A,FALSE,"4WD"}</definedName>
    <definedName name="밑그림" localSheetId="0" hidden="1">{#N/A,#N/A,FALSE,"단축1";#N/A,#N/A,FALSE,"단축2";#N/A,#N/A,FALSE,"단축3";#N/A,#N/A,FALSE,"장축";#N/A,#N/A,FALSE,"4WD"}</definedName>
    <definedName name="밑그림" hidden="1">{#N/A,#N/A,FALSE,"단축1";#N/A,#N/A,FALSE,"단축2";#N/A,#N/A,FALSE,"단축3";#N/A,#N/A,FALSE,"장축";#N/A,#N/A,FALSE,"4WD"}</definedName>
    <definedName name="ㅂ" localSheetId="1" hidden="1">{#N/A,#N/A,TRUE,"Y생산";#N/A,#N/A,TRUE,"Y판매";#N/A,#N/A,TRUE,"Y총물량";#N/A,#N/A,TRUE,"Y능력";#N/A,#N/A,TRUE,"YKD"}</definedName>
    <definedName name="ㅂ" localSheetId="3" hidden="1">{#N/A,#N/A,TRUE,"Y생산";#N/A,#N/A,TRUE,"Y판매";#N/A,#N/A,TRUE,"Y총물량";#N/A,#N/A,TRUE,"Y능력";#N/A,#N/A,TRUE,"YKD"}</definedName>
    <definedName name="ㅂ" localSheetId="0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ㅂㅂ" localSheetId="1" hidden="1">{"targetdcf",#N/A,FALSE,"Merger consequences";"TARGETASSU",#N/A,FALSE,"Merger consequences";"TERMINAL VALUE",#N/A,FALSE,"Merger consequences"}</definedName>
    <definedName name="ㅂㅂㅂ" localSheetId="3" hidden="1">{"targetdcf",#N/A,FALSE,"Merger consequences";"TARGETASSU",#N/A,FALSE,"Merger consequences";"TERMINAL VALUE",#N/A,FALSE,"Merger consequences"}</definedName>
    <definedName name="ㅂㅂㅂ" localSheetId="0" hidden="1">{"targetdcf",#N/A,FALSE,"Merger consequences";"TARGETASSU",#N/A,FALSE,"Merger consequences";"TERMINAL VALUE",#N/A,FALSE,"Merger consequences"}</definedName>
    <definedName name="ㅂㅂㅂ" hidden="1">{"targetdcf",#N/A,FALSE,"Merger consequences";"TARGETASSU",#N/A,FALSE,"Merger consequences";"TERMINAL VALUE",#N/A,FALSE,"Merger consequences"}</definedName>
    <definedName name="ㅂㅈㄷ" localSheetId="3">#REF!</definedName>
    <definedName name="ㅂㅈㄷ">#REF!</definedName>
    <definedName name="바바라" localSheetId="1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localSheetId="0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박기수" localSheetId="1" hidden="1">{#N/A,#N/A,FALSE,"총괄수정"}</definedName>
    <definedName name="박기수" localSheetId="3" hidden="1">{#N/A,#N/A,FALSE,"총괄수정"}</definedName>
    <definedName name="박기수" localSheetId="0" hidden="1">{#N/A,#N/A,FALSE,"총괄수정"}</definedName>
    <definedName name="박기수" hidden="1">{#N/A,#N/A,FALSE,"총괄수정"}</definedName>
    <definedName name="박명용" localSheetId="1" hidden="1">{#N/A,#N/A,TRUE,"Y생산";#N/A,#N/A,TRUE,"Y판매";#N/A,#N/A,TRUE,"Y총물량";#N/A,#N/A,TRUE,"Y능력";#N/A,#N/A,TRUE,"YKD"}</definedName>
    <definedName name="박명용" localSheetId="3" hidden="1">{#N/A,#N/A,TRUE,"Y생산";#N/A,#N/A,TRUE,"Y판매";#N/A,#N/A,TRUE,"Y총물량";#N/A,#N/A,TRUE,"Y능력";#N/A,#N/A,TRUE,"YKD"}</definedName>
    <definedName name="박명용" localSheetId="0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상용" localSheetId="1" hidden="1">{#N/A,#N/A,FALSE,"총괄수정"}</definedName>
    <definedName name="박상용" localSheetId="3" hidden="1">{#N/A,#N/A,FALSE,"총괄수정"}</definedName>
    <definedName name="박상용" localSheetId="0" hidden="1">{#N/A,#N/A,FALSE,"총괄수정"}</definedName>
    <definedName name="박상용" hidden="1">{#N/A,#N/A,FALSE,"총괄수정"}</definedName>
    <definedName name="버가" localSheetId="1" hidden="1">{#N/A,#N/A,FALSE,"96 3월물량표";#N/A,#N/A,FALSE,"96 4월물량표";#N/A,#N/A,FALSE,"96 5월물량표"}</definedName>
    <definedName name="버가" localSheetId="3" hidden="1">{#N/A,#N/A,FALSE,"96 3월물량표";#N/A,#N/A,FALSE,"96 4월물량표";#N/A,#N/A,FALSE,"96 5월물량표"}</definedName>
    <definedName name="버가" localSheetId="0" hidden="1">{#N/A,#N/A,FALSE,"96 3월물량표";#N/A,#N/A,FALSE,"96 4월물량표";#N/A,#N/A,FALSE,"96 5월물량표"}</definedName>
    <definedName name="버가" hidden="1">{#N/A,#N/A,FALSE,"96 3월물량표";#N/A,#N/A,FALSE,"96 4월물량표";#N/A,#N/A,FALSE,"96 5월물량표"}</definedName>
    <definedName name="벨지안" localSheetId="1" hidden="1">{#N/A,#N/A,FALSE,"단축1";#N/A,#N/A,FALSE,"단축2";#N/A,#N/A,FALSE,"단축3";#N/A,#N/A,FALSE,"장축";#N/A,#N/A,FALSE,"4WD"}</definedName>
    <definedName name="벨지안" localSheetId="3" hidden="1">{#N/A,#N/A,FALSE,"단축1";#N/A,#N/A,FALSE,"단축2";#N/A,#N/A,FALSE,"단축3";#N/A,#N/A,FALSE,"장축";#N/A,#N/A,FALSE,"4WD"}</definedName>
    <definedName name="벨지안" localSheetId="0" hidden="1">{#N/A,#N/A,FALSE,"단축1";#N/A,#N/A,FALSE,"단축2";#N/A,#N/A,FALSE,"단축3";#N/A,#N/A,FALSE,"장축";#N/A,#N/A,FALSE,"4WD"}</definedName>
    <definedName name="벨지안" hidden="1">{#N/A,#N/A,FALSE,"단축1";#N/A,#N/A,FALSE,"단축2";#N/A,#N/A,FALSE,"단축3";#N/A,#N/A,FALSE,"장축";#N/A,#N/A,FALSE,"4WD"}</definedName>
    <definedName name="변경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변경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변경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변경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변경범위2" localSheetId="1" hidden="1">{#N/A,#N/A,FALSE,"단축1";#N/A,#N/A,FALSE,"단축2";#N/A,#N/A,FALSE,"단축3";#N/A,#N/A,FALSE,"장축";#N/A,#N/A,FALSE,"4WD"}</definedName>
    <definedName name="변경범위2" localSheetId="3" hidden="1">{#N/A,#N/A,FALSE,"단축1";#N/A,#N/A,FALSE,"단축2";#N/A,#N/A,FALSE,"단축3";#N/A,#N/A,FALSE,"장축";#N/A,#N/A,FALSE,"4WD"}</definedName>
    <definedName name="변경범위2" localSheetId="0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변경후" localSheetId="1" hidden="1">{#N/A,#N/A,FALSE,"단축1";#N/A,#N/A,FALSE,"단축2";#N/A,#N/A,FALSE,"단축3";#N/A,#N/A,FALSE,"장축";#N/A,#N/A,FALSE,"4WD"}</definedName>
    <definedName name="변경후" localSheetId="3" hidden="1">{#N/A,#N/A,FALSE,"단축1";#N/A,#N/A,FALSE,"단축2";#N/A,#N/A,FALSE,"단축3";#N/A,#N/A,FALSE,"장축";#N/A,#N/A,FALSE,"4WD"}</definedName>
    <definedName name="변경후" localSheetId="0" hidden="1">{#N/A,#N/A,FALSE,"단축1";#N/A,#N/A,FALSE,"단축2";#N/A,#N/A,FALSE,"단축3";#N/A,#N/A,FALSE,"장축";#N/A,#N/A,FALSE,"4WD"}</definedName>
    <definedName name="변경후" hidden="1">{#N/A,#N/A,FALSE,"단축1";#N/A,#N/A,FALSE,"단축2";#N/A,#N/A,FALSE,"단축3";#N/A,#N/A,FALSE,"장축";#N/A,#N/A,FALSE,"4WD"}</definedName>
    <definedName name="병2" localSheetId="1" hidden="1">{#N/A,#N/A,FALSE,"단축1";#N/A,#N/A,FALSE,"단축2";#N/A,#N/A,FALSE,"단축3";#N/A,#N/A,FALSE,"장축";#N/A,#N/A,FALSE,"4WD"}</definedName>
    <definedName name="병2" localSheetId="3" hidden="1">{#N/A,#N/A,FALSE,"단축1";#N/A,#N/A,FALSE,"단축2";#N/A,#N/A,FALSE,"단축3";#N/A,#N/A,FALSE,"장축";#N/A,#N/A,FALSE,"4WD"}</definedName>
    <definedName name="병2" localSheetId="0" hidden="1">{#N/A,#N/A,FALSE,"단축1";#N/A,#N/A,FALSE,"단축2";#N/A,#N/A,FALSE,"단축3";#N/A,#N/A,FALSE,"장축";#N/A,#N/A,FALSE,"4WD"}</definedName>
    <definedName name="병2" hidden="1">{#N/A,#N/A,FALSE,"단축1";#N/A,#N/A,FALSE,"단축2";#N/A,#N/A,FALSE,"단축3";#N/A,#N/A,FALSE,"장축";#N/A,#N/A,FALSE,"4WD"}</definedName>
    <definedName name="병이라나이랑" localSheetId="1" hidden="1">{#N/A,#N/A,FALSE,"96 3월물량표";#N/A,#N/A,FALSE,"96 4월물량표";#N/A,#N/A,FALSE,"96 5월물량표"}</definedName>
    <definedName name="병이라나이랑" localSheetId="3" hidden="1">{#N/A,#N/A,FALSE,"96 3월물량표";#N/A,#N/A,FALSE,"96 4월물량표";#N/A,#N/A,FALSE,"96 5월물량표"}</definedName>
    <definedName name="병이라나이랑" localSheetId="0" hidden="1">{#N/A,#N/A,FALSE,"96 3월물량표";#N/A,#N/A,FALSE,"96 4월물량표";#N/A,#N/A,FALSE,"96 5월물량표"}</definedName>
    <definedName name="병이라나이랑" hidden="1">{#N/A,#N/A,FALSE,"96 3월물량표";#N/A,#N/A,FALSE,"96 4월물량표";#N/A,#N/A,FALSE,"96 5월물량표"}</definedName>
    <definedName name="보고1" localSheetId="1" hidden="1">{#N/A,#N/A,FALSE,"단축1";#N/A,#N/A,FALSE,"단축2";#N/A,#N/A,FALSE,"단축3";#N/A,#N/A,FALSE,"장축";#N/A,#N/A,FALSE,"4WD"}</definedName>
    <definedName name="보고1" localSheetId="3" hidden="1">{#N/A,#N/A,FALSE,"단축1";#N/A,#N/A,FALSE,"단축2";#N/A,#N/A,FALSE,"단축3";#N/A,#N/A,FALSE,"장축";#N/A,#N/A,FALSE,"4WD"}</definedName>
    <definedName name="보고1" localSheetId="0" hidden="1">{#N/A,#N/A,FALSE,"단축1";#N/A,#N/A,FALSE,"단축2";#N/A,#N/A,FALSE,"단축3";#N/A,#N/A,FALSE,"장축";#N/A,#N/A,FALSE,"4WD"}</definedName>
    <definedName name="보고1" hidden="1">{#N/A,#N/A,FALSE,"단축1";#N/A,#N/A,FALSE,"단축2";#N/A,#N/A,FALSE,"단축3";#N/A,#N/A,FALSE,"장축";#N/A,#N/A,FALSE,"4WD"}</definedName>
    <definedName name="보고서1" localSheetId="1" hidden="1">{#N/A,#N/A,FALSE,"단축1";#N/A,#N/A,FALSE,"단축2";#N/A,#N/A,FALSE,"단축3";#N/A,#N/A,FALSE,"장축";#N/A,#N/A,FALSE,"4WD"}</definedName>
    <definedName name="보고서1" localSheetId="3" hidden="1">{#N/A,#N/A,FALSE,"단축1";#N/A,#N/A,FALSE,"단축2";#N/A,#N/A,FALSE,"단축3";#N/A,#N/A,FALSE,"장축";#N/A,#N/A,FALSE,"4WD"}</definedName>
    <definedName name="보고서1" localSheetId="0" hidden="1">{#N/A,#N/A,FALSE,"단축1";#N/A,#N/A,FALSE,"단축2";#N/A,#N/A,FALSE,"단축3";#N/A,#N/A,FALSE,"장축";#N/A,#N/A,FALSE,"4WD"}</definedName>
    <definedName name="보고서1" hidden="1">{#N/A,#N/A,FALSE,"단축1";#N/A,#N/A,FALSE,"단축2";#N/A,#N/A,FALSE,"단축3";#N/A,#N/A,FALSE,"장축";#N/A,#N/A,FALSE,"4WD"}</definedName>
    <definedName name="분" localSheetId="1" hidden="1">{#N/A,#N/A,FALSE,"단축1";#N/A,#N/A,FALSE,"단축2";#N/A,#N/A,FALSE,"단축3";#N/A,#N/A,FALSE,"장축";#N/A,#N/A,FALSE,"4WD"}</definedName>
    <definedName name="분" localSheetId="3" hidden="1">{#N/A,#N/A,FALSE,"단축1";#N/A,#N/A,FALSE,"단축2";#N/A,#N/A,FALSE,"단축3";#N/A,#N/A,FALSE,"장축";#N/A,#N/A,FALSE,"4WD"}</definedName>
    <definedName name="분" localSheetId="0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localSheetId="1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localSheetId="0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비비" localSheetId="1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localSheetId="0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" localSheetId="1" hidden="1">{#N/A,#N/A,TRUE,"Y생산";#N/A,#N/A,TRUE,"Y판매";#N/A,#N/A,TRUE,"Y총물량";#N/A,#N/A,TRUE,"Y능력";#N/A,#N/A,TRUE,"YKD"}</definedName>
    <definedName name="ㅅ" localSheetId="3" hidden="1">{#N/A,#N/A,TRUE,"Y생산";#N/A,#N/A,TRUE,"Y판매";#N/A,#N/A,TRUE,"Y총물량";#N/A,#N/A,TRUE,"Y능력";#N/A,#N/A,TRUE,"YKD"}</definedName>
    <definedName name="ㅅ" localSheetId="0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사양서표지" localSheetId="1" hidden="1">{#N/A,#N/A,FALSE,"단축1";#N/A,#N/A,FALSE,"단축2";#N/A,#N/A,FALSE,"단축3";#N/A,#N/A,FALSE,"장축";#N/A,#N/A,FALSE,"4WD"}</definedName>
    <definedName name="사양서표지" localSheetId="3" hidden="1">{#N/A,#N/A,FALSE,"단축1";#N/A,#N/A,FALSE,"단축2";#N/A,#N/A,FALSE,"단축3";#N/A,#N/A,FALSE,"장축";#N/A,#N/A,FALSE,"4WD"}</definedName>
    <definedName name="사양서표지" localSheetId="0" hidden="1">{#N/A,#N/A,FALSE,"단축1";#N/A,#N/A,FALSE,"단축2";#N/A,#N/A,FALSE,"단축3";#N/A,#N/A,FALSE,"장축";#N/A,#N/A,FALSE,"4WD"}</definedName>
    <definedName name="사양서표지" hidden="1">{#N/A,#N/A,FALSE,"단축1";#N/A,#N/A,FALSE,"단축2";#N/A,#N/A,FALSE,"단축3";#N/A,#N/A,FALSE,"장축";#N/A,#N/A,FALSE,"4WD"}</definedName>
    <definedName name="사진" localSheetId="1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localSheetId="0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1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localSheetId="0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젖" localSheetId="1" hidden="1">{#N/A,#N/A,FALSE,"단축1";#N/A,#N/A,FALSE,"단축2";#N/A,#N/A,FALSE,"단축3";#N/A,#N/A,FALSE,"장축";#N/A,#N/A,FALSE,"4WD"}</definedName>
    <definedName name="산젖" localSheetId="3" hidden="1">{#N/A,#N/A,FALSE,"단축1";#N/A,#N/A,FALSE,"단축2";#N/A,#N/A,FALSE,"단축3";#N/A,#N/A,FALSE,"장축";#N/A,#N/A,FALSE,"4WD"}</definedName>
    <definedName name="산젖" localSheetId="0" hidden="1">{#N/A,#N/A,FALSE,"단축1";#N/A,#N/A,FALSE,"단축2";#N/A,#N/A,FALSE,"단축3";#N/A,#N/A,FALSE,"장축";#N/A,#N/A,FALSE,"4WD"}</definedName>
    <definedName name="산젖" hidden="1">{#N/A,#N/A,FALSE,"단축1";#N/A,#N/A,FALSE,"단축2";#N/A,#N/A,FALSE,"단축3";#N/A,#N/A,FALSE,"장축";#N/A,#N/A,FALSE,"4WD"}</definedName>
    <definedName name="상도2" localSheetId="1" hidden="1">{#N/A,#N/A,FALSE,"단축1";#N/A,#N/A,FALSE,"단축2";#N/A,#N/A,FALSE,"단축3";#N/A,#N/A,FALSE,"장축";#N/A,#N/A,FALSE,"4WD"}</definedName>
    <definedName name="상도2" localSheetId="3" hidden="1">{#N/A,#N/A,FALSE,"단축1";#N/A,#N/A,FALSE,"단축2";#N/A,#N/A,FALSE,"단축3";#N/A,#N/A,FALSE,"장축";#N/A,#N/A,FALSE,"4WD"}</definedName>
    <definedName name="상도2" localSheetId="0" hidden="1">{#N/A,#N/A,FALSE,"단축1";#N/A,#N/A,FALSE,"단축2";#N/A,#N/A,FALSE,"단축3";#N/A,#N/A,FALSE,"장축";#N/A,#N/A,FALSE,"4WD"}</definedName>
    <definedName name="상도2" hidden="1">{#N/A,#N/A,FALSE,"단축1";#N/A,#N/A,FALSE,"단축2";#N/A,#N/A,FALSE,"단축3";#N/A,#N/A,FALSE,"장축";#N/A,#N/A,FALSE,"4WD"}</definedName>
    <definedName name="상세계획" localSheetId="1" hidden="1">{#N/A,#N/A,FALSE,"단축1";#N/A,#N/A,FALSE,"단축2";#N/A,#N/A,FALSE,"단축3";#N/A,#N/A,FALSE,"장축";#N/A,#N/A,FALSE,"4WD"}</definedName>
    <definedName name="상세계획" localSheetId="3" hidden="1">{#N/A,#N/A,FALSE,"단축1";#N/A,#N/A,FALSE,"단축2";#N/A,#N/A,FALSE,"단축3";#N/A,#N/A,FALSE,"장축";#N/A,#N/A,FALSE,"4WD"}</definedName>
    <definedName name="상세계획" localSheetId="0" hidden="1">{#N/A,#N/A,FALSE,"단축1";#N/A,#N/A,FALSE,"단축2";#N/A,#N/A,FALSE,"단축3";#N/A,#N/A,FALSE,"장축";#N/A,#N/A,FALSE,"4WD"}</definedName>
    <definedName name="상세계획" hidden="1">{#N/A,#N/A,FALSE,"단축1";#N/A,#N/A,FALSE,"단축2";#N/A,#N/A,FALSE,"단축3";#N/A,#N/A,FALSE,"장축";#N/A,#N/A,FALSE,"4WD"}</definedName>
    <definedName name="상품성보고" localSheetId="1" hidden="1">'[1]#REF'!#REF!</definedName>
    <definedName name="상품성보고" hidden="1">'[1]#REF'!#REF!</definedName>
    <definedName name="생산TON" localSheetId="1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localSheetId="0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특장2" localSheetId="1" hidden="1">{#N/A,#N/A,TRUE,"Y생산";#N/A,#N/A,TRUE,"Y판매";#N/A,#N/A,TRUE,"Y총물량";#N/A,#N/A,TRUE,"Y능력";#N/A,#N/A,TRUE,"YKD"}</definedName>
    <definedName name="생산특장2" localSheetId="3" hidden="1">{#N/A,#N/A,TRUE,"Y생산";#N/A,#N/A,TRUE,"Y판매";#N/A,#N/A,TRUE,"Y총물량";#N/A,#N/A,TRUE,"Y능력";#N/A,#N/A,TRUE,"YKD"}</definedName>
    <definedName name="생산특장2" localSheetId="0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1" hidden="1">{#N/A,#N/A,TRUE,"Y생산";#N/A,#N/A,TRUE,"Y판매";#N/A,#N/A,TRUE,"Y총물량";#N/A,#N/A,TRUE,"Y능력";#N/A,#N/A,TRUE,"YKD"}</definedName>
    <definedName name="생산합격" localSheetId="3" hidden="1">{#N/A,#N/A,TRUE,"Y생산";#N/A,#N/A,TRUE,"Y판매";#N/A,#N/A,TRUE,"Y총물량";#N/A,#N/A,TRUE,"Y능력";#N/A,#N/A,TRUE,"YKD"}</definedName>
    <definedName name="생산합격" localSheetId="0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석" localSheetId="1" hidden="1">{#N/A,#N/A,FALSE,"단축1";#N/A,#N/A,FALSE,"단축2";#N/A,#N/A,FALSE,"단축3";#N/A,#N/A,FALSE,"장축";#N/A,#N/A,FALSE,"4WD"}</definedName>
    <definedName name="석" localSheetId="3" hidden="1">{#N/A,#N/A,FALSE,"단축1";#N/A,#N/A,FALSE,"단축2";#N/A,#N/A,FALSE,"단축3";#N/A,#N/A,FALSE,"장축";#N/A,#N/A,FALSE,"4WD"}</definedName>
    <definedName name="석" localSheetId="0" hidden="1">{#N/A,#N/A,FALSE,"단축1";#N/A,#N/A,FALSE,"단축2";#N/A,#N/A,FALSE,"단축3";#N/A,#N/A,FALSE,"장축";#N/A,#N/A,FALSE,"4WD"}</definedName>
    <definedName name="석" hidden="1">{#N/A,#N/A,FALSE,"단축1";#N/A,#N/A,FALSE,"단축2";#N/A,#N/A,FALSE,"단축3";#N/A,#N/A,FALSE,"장축";#N/A,#N/A,FALSE,"4WD"}</definedName>
    <definedName name="설설" localSheetId="1" hidden="1">{#N/A,#N/A,FALSE,"단축1";#N/A,#N/A,FALSE,"단축2";#N/A,#N/A,FALSE,"단축3";#N/A,#N/A,FALSE,"장축";#N/A,#N/A,FALSE,"4WD"}</definedName>
    <definedName name="설설" localSheetId="3" hidden="1">{#N/A,#N/A,FALSE,"단축1";#N/A,#N/A,FALSE,"단축2";#N/A,#N/A,FALSE,"단축3";#N/A,#N/A,FALSE,"장축";#N/A,#N/A,FALSE,"4WD"}</definedName>
    <definedName name="설설" localSheetId="0" hidden="1">{#N/A,#N/A,FALSE,"단축1";#N/A,#N/A,FALSE,"단축2";#N/A,#N/A,FALSE,"단축3";#N/A,#N/A,FALSE,"장축";#N/A,#N/A,FALSE,"4WD"}</definedName>
    <definedName name="설설" hidden="1">{#N/A,#N/A,FALSE,"단축1";#N/A,#N/A,FALSE,"단축2";#N/A,#N/A,FALSE,"단축3";#N/A,#N/A,FALSE,"장축";#N/A,#N/A,FALSE,"4WD"}</definedName>
    <definedName name="성능시험2" localSheetId="1" hidden="1">{#N/A,#N/A,FALSE,"단축1";#N/A,#N/A,FALSE,"단축2";#N/A,#N/A,FALSE,"단축3";#N/A,#N/A,FALSE,"장축";#N/A,#N/A,FALSE,"4WD"}</definedName>
    <definedName name="성능시험2" localSheetId="3" hidden="1">{#N/A,#N/A,FALSE,"단축1";#N/A,#N/A,FALSE,"단축2";#N/A,#N/A,FALSE,"단축3";#N/A,#N/A,FALSE,"장축";#N/A,#N/A,FALSE,"4WD"}</definedName>
    <definedName name="성능시험2" localSheetId="0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세부생산계획" localSheetId="1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localSheetId="0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셀리카" localSheetId="1" hidden="1">#REF!</definedName>
    <definedName name="셀리카" localSheetId="3" hidden="1">#REF!</definedName>
    <definedName name="셀리카" hidden="1">#REF!</definedName>
    <definedName name="소" localSheetId="1" hidden="1">{#N/A,#N/A,TRUE,"Y생산";#N/A,#N/A,TRUE,"Y판매";#N/A,#N/A,TRUE,"Y총물량";#N/A,#N/A,TRUE,"Y능력";#N/A,#N/A,TRUE,"YKD"}</definedName>
    <definedName name="소" localSheetId="3" hidden="1">{#N/A,#N/A,TRUE,"Y생산";#N/A,#N/A,TRUE,"Y판매";#N/A,#N/A,TRUE,"Y총물량";#N/A,#N/A,TRUE,"Y능력";#N/A,#N/A,TRUE,"YKD"}</definedName>
    <definedName name="소" localSheetId="0" hidden="1">{#N/A,#N/A,TRUE,"Y생산";#N/A,#N/A,TRUE,"Y판매";#N/A,#N/A,TRUE,"Y총물량";#N/A,#N/A,TRUE,"Y능력";#N/A,#N/A,TRUE,"YKD"}</definedName>
    <definedName name="소" hidden="1">{#N/A,#N/A,TRUE,"Y생산";#N/A,#N/A,TRUE,"Y판매";#N/A,#N/A,TRUE,"Y총물량";#N/A,#N/A,TRUE,"Y능력";#N/A,#N/A,TRUE,"YKD"}</definedName>
    <definedName name="소하프로젝트" localSheetId="1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형투자" localSheetId="1" hidden="1">{#N/A,#N/A,FALSE,"총괄수정"}</definedName>
    <definedName name="소형투자" localSheetId="3" hidden="1">{#N/A,#N/A,FALSE,"총괄수정"}</definedName>
    <definedName name="소형투자" localSheetId="0" hidden="1">{#N/A,#N/A,FALSE,"총괄수정"}</definedName>
    <definedName name="소형투자" hidden="1">{#N/A,#N/A,FALSE,"총괄수정"}</definedName>
    <definedName name="송" localSheetId="1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localSheetId="0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1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localSheetId="0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쇼쇼쇼쇼쇼쇼쇼쇼쇼" localSheetId="1" hidden="1">{#N/A,#N/A,FALSE,"단축1";#N/A,#N/A,FALSE,"단축2";#N/A,#N/A,FALSE,"단축3";#N/A,#N/A,FALSE,"장축";#N/A,#N/A,FALSE,"4WD"}</definedName>
    <definedName name="쇼쇼쇼쇼쇼쇼쇼쇼쇼쇼" localSheetId="3" hidden="1">{#N/A,#N/A,FALSE,"단축1";#N/A,#N/A,FALSE,"단축2";#N/A,#N/A,FALSE,"단축3";#N/A,#N/A,FALSE,"장축";#N/A,#N/A,FALSE,"4WD"}</definedName>
    <definedName name="쇼쇼쇼쇼쇼쇼쇼쇼쇼쇼" localSheetId="0" hidden="1">{#N/A,#N/A,FALSE,"단축1";#N/A,#N/A,FALSE,"단축2";#N/A,#N/A,FALSE,"단축3";#N/A,#N/A,FALSE,"장축";#N/A,#N/A,FALSE,"4WD"}</definedName>
    <definedName name="쇼쇼쇼쇼쇼쇼쇼쇼쇼쇼" hidden="1">{#N/A,#N/A,FALSE,"단축1";#N/A,#N/A,FALSE,"단축2";#N/A,#N/A,FALSE,"단축3";#N/A,#N/A,FALSE,"장축";#N/A,#N/A,FALSE,"4WD"}</definedName>
    <definedName name="수정물량" localSheetId="1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localSheetId="0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성능" localSheetId="1" hidden="1">{#N/A,#N/A,FALSE,"단축1";#N/A,#N/A,FALSE,"단축2";#N/A,#N/A,FALSE,"단축3";#N/A,#N/A,FALSE,"장축";#N/A,#N/A,FALSE,"4WD"}</definedName>
    <definedName name="수정성능" localSheetId="3" hidden="1">{#N/A,#N/A,FALSE,"단축1";#N/A,#N/A,FALSE,"단축2";#N/A,#N/A,FALSE,"단축3";#N/A,#N/A,FALSE,"장축";#N/A,#N/A,FALSE,"4WD"}</definedName>
    <definedName name="수정성능" localSheetId="0" hidden="1">{#N/A,#N/A,FALSE,"단축1";#N/A,#N/A,FALSE,"단축2";#N/A,#N/A,FALSE,"단축3";#N/A,#N/A,FALSE,"장축";#N/A,#N/A,FALSE,"4WD"}</definedName>
    <definedName name="수정성능" hidden="1">{#N/A,#N/A,FALSE,"단축1";#N/A,#N/A,FALSE,"단축2";#N/A,#N/A,FALSE,"단축3";#N/A,#N/A,FALSE,"장축";#N/A,#N/A,FALSE,"4WD"}</definedName>
    <definedName name="스" localSheetId="1" hidden="1">{#N/A,#N/A,FALSE,"단축1";#N/A,#N/A,FALSE,"단축2";#N/A,#N/A,FALSE,"단축3";#N/A,#N/A,FALSE,"장축";#N/A,#N/A,FALSE,"4WD"}</definedName>
    <definedName name="스" localSheetId="3" hidden="1">{#N/A,#N/A,FALSE,"단축1";#N/A,#N/A,FALSE,"단축2";#N/A,#N/A,FALSE,"단축3";#N/A,#N/A,FALSE,"장축";#N/A,#N/A,FALSE,"4WD"}</definedName>
    <definedName name="스" localSheetId="0" hidden="1">{#N/A,#N/A,FALSE,"단축1";#N/A,#N/A,FALSE,"단축2";#N/A,#N/A,FALSE,"단축3";#N/A,#N/A,FALSE,"장축";#N/A,#N/A,FALSE,"4WD"}</definedName>
    <definedName name="스" hidden="1">{#N/A,#N/A,FALSE,"단축1";#N/A,#N/A,FALSE,"단축2";#N/A,#N/A,FALSE,"단축3";#N/A,#N/A,FALSE,"장축";#N/A,#N/A,FALSE,"4WD"}</definedName>
    <definedName name="승인권한2" localSheetId="1" hidden="1">{#N/A,#N/A,FALSE,"단축1";#N/A,#N/A,FALSE,"단축2";#N/A,#N/A,FALSE,"단축3";#N/A,#N/A,FALSE,"장축";#N/A,#N/A,FALSE,"4WD"}</definedName>
    <definedName name="승인권한2" localSheetId="3" hidden="1">{#N/A,#N/A,FALSE,"단축1";#N/A,#N/A,FALSE,"단축2";#N/A,#N/A,FALSE,"단축3";#N/A,#N/A,FALSE,"장축";#N/A,#N/A,FALSE,"4WD"}</definedName>
    <definedName name="승인권한2" localSheetId="0" hidden="1">{#N/A,#N/A,FALSE,"단축1";#N/A,#N/A,FALSE,"단축2";#N/A,#N/A,FALSE,"단축3";#N/A,#N/A,FALSE,"장축";#N/A,#N/A,FALSE,"4WD"}</definedName>
    <definedName name="승인권한2" hidden="1">{#N/A,#N/A,FALSE,"단축1";#N/A,#N/A,FALSE,"단축2";#N/A,#N/A,FALSE,"단축3";#N/A,#N/A,FALSE,"장축";#N/A,#N/A,FALSE,"4WD"}</definedName>
    <definedName name="시간" localSheetId="1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localSheetId="0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작계획" localSheetId="1" hidden="1">{#N/A,#N/A,FALSE,"단축1";#N/A,#N/A,FALSE,"단축2";#N/A,#N/A,FALSE,"단축3";#N/A,#N/A,FALSE,"장축";#N/A,#N/A,FALSE,"4WD"}</definedName>
    <definedName name="시작계획" localSheetId="3" hidden="1">{#N/A,#N/A,FALSE,"단축1";#N/A,#N/A,FALSE,"단축2";#N/A,#N/A,FALSE,"단축3";#N/A,#N/A,FALSE,"장축";#N/A,#N/A,FALSE,"4WD"}</definedName>
    <definedName name="시작계획" localSheetId="0" hidden="1">{#N/A,#N/A,FALSE,"단축1";#N/A,#N/A,FALSE,"단축2";#N/A,#N/A,FALSE,"단축3";#N/A,#N/A,FALSE,"장축";#N/A,#N/A,FALSE,"4WD"}</definedName>
    <definedName name="시작계획" hidden="1">{#N/A,#N/A,FALSE,"단축1";#N/A,#N/A,FALSE,"단축2";#N/A,#N/A,FALSE,"단축3";#N/A,#N/A,FALSE,"장축";#N/A,#N/A,FALSE,"4WD"}</definedName>
    <definedName name="시험계획" localSheetId="1" hidden="1">{#N/A,#N/A,FALSE,"단축1";#N/A,#N/A,FALSE,"단축2";#N/A,#N/A,FALSE,"단축3";#N/A,#N/A,FALSE,"장축";#N/A,#N/A,FALSE,"4WD"}</definedName>
    <definedName name="시험계획" localSheetId="3" hidden="1">{#N/A,#N/A,FALSE,"단축1";#N/A,#N/A,FALSE,"단축2";#N/A,#N/A,FALSE,"단축3";#N/A,#N/A,FALSE,"장축";#N/A,#N/A,FALSE,"4WD"}</definedName>
    <definedName name="시험계획" localSheetId="0" hidden="1">{#N/A,#N/A,FALSE,"단축1";#N/A,#N/A,FALSE,"단축2";#N/A,#N/A,FALSE,"단축3";#N/A,#N/A,FALSE,"장축";#N/A,#N/A,FALSE,"4WD"}</definedName>
    <definedName name="시험계획" hidden="1">{#N/A,#N/A,FALSE,"단축1";#N/A,#N/A,FALSE,"단축2";#N/A,#N/A,FALSE,"단축3";#N/A,#N/A,FALSE,"장축";#N/A,#N/A,FALSE,"4WD"}</definedName>
    <definedName name="신" localSheetId="1" hidden="1">{#N/A,#N/A,FALSE,"단축1";#N/A,#N/A,FALSE,"단축2";#N/A,#N/A,FALSE,"단축3";#N/A,#N/A,FALSE,"장축";#N/A,#N/A,FALSE,"4WD"}</definedName>
    <definedName name="신" localSheetId="3" hidden="1">{#N/A,#N/A,FALSE,"단축1";#N/A,#N/A,FALSE,"단축2";#N/A,#N/A,FALSE,"단축3";#N/A,#N/A,FALSE,"장축";#N/A,#N/A,FALSE,"4WD"}</definedName>
    <definedName name="신" localSheetId="0" hidden="1">{#N/A,#N/A,FALSE,"단축1";#N/A,#N/A,FALSE,"단축2";#N/A,#N/A,FALSE,"단축3";#N/A,#N/A,FALSE,"장축";#N/A,#N/A,FALSE,"4WD"}</definedName>
    <definedName name="신" hidden="1">{#N/A,#N/A,FALSE,"단축1";#N/A,#N/A,FALSE,"단축2";#N/A,#N/A,FALSE,"단축3";#N/A,#N/A,FALSE,"장축";#N/A,#N/A,FALSE,"4WD"}</definedName>
    <definedName name="신기술" localSheetId="1" hidden="1">{#N/A,#N/A,FALSE,"단축1";#N/A,#N/A,FALSE,"단축2";#N/A,#N/A,FALSE,"단축3";#N/A,#N/A,FALSE,"장축";#N/A,#N/A,FALSE,"4WD"}</definedName>
    <definedName name="신기술" localSheetId="3" hidden="1">{#N/A,#N/A,FALSE,"단축1";#N/A,#N/A,FALSE,"단축2";#N/A,#N/A,FALSE,"단축3";#N/A,#N/A,FALSE,"장축";#N/A,#N/A,FALSE,"4WD"}</definedName>
    <definedName name="신기술" localSheetId="0" hidden="1">{#N/A,#N/A,FALSE,"단축1";#N/A,#N/A,FALSE,"단축2";#N/A,#N/A,FALSE,"단축3";#N/A,#N/A,FALSE,"장축";#N/A,#N/A,FALSE,"4WD"}</definedName>
    <definedName name="신기술" hidden="1">{#N/A,#N/A,FALSE,"단축1";#N/A,#N/A,FALSE,"단축2";#N/A,#N/A,FALSE,"단축3";#N/A,#N/A,FALSE,"장축";#N/A,#N/A,FALSE,"4WD"}</definedName>
    <definedName name="신동원" localSheetId="1" hidden="1">{#N/A,#N/A,FALSE,"단축1";#N/A,#N/A,FALSE,"단축2";#N/A,#N/A,FALSE,"단축3";#N/A,#N/A,FALSE,"장축";#N/A,#N/A,FALSE,"4WD"}</definedName>
    <definedName name="신동원" localSheetId="3" hidden="1">{#N/A,#N/A,FALSE,"단축1";#N/A,#N/A,FALSE,"단축2";#N/A,#N/A,FALSE,"단축3";#N/A,#N/A,FALSE,"장축";#N/A,#N/A,FALSE,"4WD"}</definedName>
    <definedName name="신동원" localSheetId="0" hidden="1">{#N/A,#N/A,FALSE,"단축1";#N/A,#N/A,FALSE,"단축2";#N/A,#N/A,FALSE,"단축3";#N/A,#N/A,FALSE,"장축";#N/A,#N/A,FALSE,"4WD"}</definedName>
    <definedName name="신동원" hidden="1">{#N/A,#N/A,FALSE,"단축1";#N/A,#N/A,FALSE,"단축2";#N/A,#N/A,FALSE,"단축3";#N/A,#N/A,FALSE,"장축";#N/A,#N/A,FALSE,"4WD"}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장비" localSheetId="1" hidden="1">{#N/A,#N/A,FALSE,"단축1";#N/A,#N/A,FALSE,"단축2";#N/A,#N/A,FALSE,"단축3";#N/A,#N/A,FALSE,"장축";#N/A,#N/A,FALSE,"4WD"}</definedName>
    <definedName name="신장비" localSheetId="3" hidden="1">{#N/A,#N/A,FALSE,"단축1";#N/A,#N/A,FALSE,"단축2";#N/A,#N/A,FALSE,"단축3";#N/A,#N/A,FALSE,"장축";#N/A,#N/A,FALSE,"4WD"}</definedName>
    <definedName name="신장비" localSheetId="0" hidden="1">{#N/A,#N/A,FALSE,"단축1";#N/A,#N/A,FALSE,"단축2";#N/A,#N/A,FALSE,"단축3";#N/A,#N/A,FALSE,"장축";#N/A,#N/A,FALSE,"4WD"}</definedName>
    <definedName name="신장비" hidden="1">{#N/A,#N/A,FALSE,"단축1";#N/A,#N/A,FALSE,"단축2";#N/A,#N/A,FALSE,"단축3";#N/A,#N/A,FALSE,"장축";#N/A,#N/A,FALSE,"4WD"}</definedName>
    <definedName name="신차품질일정" localSheetId="1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localSheetId="0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ㅆ3" localSheetId="1" hidden="1">{#N/A,#N/A,FALSE,"단축1";#N/A,#N/A,FALSE,"단축2";#N/A,#N/A,FALSE,"단축3";#N/A,#N/A,FALSE,"장축";#N/A,#N/A,FALSE,"4WD"}</definedName>
    <definedName name="ㅆ3" localSheetId="3" hidden="1">{#N/A,#N/A,FALSE,"단축1";#N/A,#N/A,FALSE,"단축2";#N/A,#N/A,FALSE,"단축3";#N/A,#N/A,FALSE,"장축";#N/A,#N/A,FALSE,"4WD"}</definedName>
    <definedName name="ㅆ3" localSheetId="0" hidden="1">{#N/A,#N/A,FALSE,"단축1";#N/A,#N/A,FALSE,"단축2";#N/A,#N/A,FALSE,"단축3";#N/A,#N/A,FALSE,"장축";#N/A,#N/A,FALSE,"4WD"}</definedName>
    <definedName name="ㅆ3" hidden="1">{#N/A,#N/A,FALSE,"단축1";#N/A,#N/A,FALSE,"단축2";#N/A,#N/A,FALSE,"단축3";#N/A,#N/A,FALSE,"장축";#N/A,#N/A,FALSE,"4WD"}</definedName>
    <definedName name="ㅇ" localSheetId="1" hidden="1">{#N/A,#N/A,FALSE,"표지";#N/A,#N/A,FALSE,"1.손익현황";#N/A,#N/A,FALSE,"2.재무제표";#N/A,#N/A,FALSE,"3.1자금현황";#N/A,#N/A,FALSE,"3.2현금흐름";#N/A,#N/A,FALSE,"4.판매";#N/A,#N/A,FALSE,"5.생산"}</definedName>
    <definedName name="ㅇ" localSheetId="3" hidden="1">{#N/A,#N/A,FALSE,"표지";#N/A,#N/A,FALSE,"1.손익현황";#N/A,#N/A,FALSE,"2.재무제표";#N/A,#N/A,FALSE,"3.1자금현황";#N/A,#N/A,FALSE,"3.2현금흐름";#N/A,#N/A,FALSE,"4.판매";#N/A,#N/A,FALSE,"5.생산"}</definedName>
    <definedName name="ㅇ" localSheetId="0" hidden="1">{#N/A,#N/A,FALSE,"표지";#N/A,#N/A,FALSE,"1.손익현황";#N/A,#N/A,FALSE,"2.재무제표";#N/A,#N/A,FALSE,"3.1자금현황";#N/A,#N/A,FALSE,"3.2현금흐름";#N/A,#N/A,FALSE,"4.판매";#N/A,#N/A,FALSE,"5.생산"}</definedName>
    <definedName name="ㅇ" hidden="1">{#N/A,#N/A,FALSE,"표지";#N/A,#N/A,FALSE,"1.손익현황";#N/A,#N/A,FALSE,"2.재무제표";#N/A,#N/A,FALSE,"3.1자금현황";#N/A,#N/A,FALSE,"3.2현금흐름";#N/A,#N/A,FALSE,"4.판매";#N/A,#N/A,FALSE,"5.생산"}</definedName>
    <definedName name="ㅇㄴㄴㄴㅇ" localSheetId="1" hidden="1">{"qchm_dcf",#N/A,FALSE,"QCHMDCF2";"qchm_terminal",#N/A,FALSE,"QCHMDCF2"}</definedName>
    <definedName name="ㅇㄴㄴㄴㅇ" localSheetId="3" hidden="1">{"qchm_dcf",#N/A,FALSE,"QCHMDCF2";"qchm_terminal",#N/A,FALSE,"QCHMDCF2"}</definedName>
    <definedName name="ㅇㄴㄴㄴㅇ" localSheetId="0" hidden="1">{"qchm_dcf",#N/A,FALSE,"QCHMDCF2";"qchm_terminal",#N/A,FALSE,"QCHMDCF2"}</definedName>
    <definedName name="ㅇㄴㄴㄴㅇ" hidden="1">{"qchm_dcf",#N/A,FALSE,"QCHMDCF2";"qchm_terminal",#N/A,FALSE,"QCHMDCF2"}</definedName>
    <definedName name="ㅇㄴㄹㄹㄹㄹㄹㄹㄹㄴㅇ" localSheetId="1" hidden="1">{"AQUIRORDCF",#N/A,FALSE,"Merger consequences";"Acquirorassns",#N/A,FALSE,"Merger consequences"}</definedName>
    <definedName name="ㅇㄴㄹㄹㄹㄹㄹㄹㄹㄴㅇ" localSheetId="3" hidden="1">{"AQUIRORDCF",#N/A,FALSE,"Merger consequences";"Acquirorassns",#N/A,FALSE,"Merger consequences"}</definedName>
    <definedName name="ㅇㄴㄹㄹㄹㄹㄹㄹㄹㄴㅇ" localSheetId="0" hidden="1">{"AQUIRORDCF",#N/A,FALSE,"Merger consequences";"Acquirorassns",#N/A,FALSE,"Merger consequences"}</definedName>
    <definedName name="ㅇㄴㄹㄹㄹㄹㄹㄹㄹㄴㅇ" hidden="1">{"AQUIRORDCF",#N/A,FALSE,"Merger consequences";"Acquirorassns",#N/A,FALSE,"Merger consequences"}</definedName>
    <definedName name="ㅇㄹ" localSheetId="1" hidden="1">{#N/A,#N/A,FALSE,"단축1";#N/A,#N/A,FALSE,"단축2";#N/A,#N/A,FALSE,"단축3";#N/A,#N/A,FALSE,"장축";#N/A,#N/A,FALSE,"4WD"}</definedName>
    <definedName name="ㅇㄹ" localSheetId="3" hidden="1">{#N/A,#N/A,FALSE,"단축1";#N/A,#N/A,FALSE,"단축2";#N/A,#N/A,FALSE,"단축3";#N/A,#N/A,FALSE,"장축";#N/A,#N/A,FALSE,"4WD"}</definedName>
    <definedName name="ㅇㄹ" localSheetId="0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1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ㄹㅇ" localSheetId="1" hidden="1">{#N/A,#N/A,FALSE,"단축1";#N/A,#N/A,FALSE,"단축2";#N/A,#N/A,FALSE,"단축3";#N/A,#N/A,FALSE,"장축";#N/A,#N/A,FALSE,"4WD"}</definedName>
    <definedName name="ㅇㄹㄴㄹㅇ" localSheetId="3" hidden="1">{#N/A,#N/A,FALSE,"단축1";#N/A,#N/A,FALSE,"단축2";#N/A,#N/A,FALSE,"단축3";#N/A,#N/A,FALSE,"장축";#N/A,#N/A,FALSE,"4WD"}</definedName>
    <definedName name="ㅇㄹㄴㄹㅇ" localSheetId="0" hidden="1">{#N/A,#N/A,FALSE,"단축1";#N/A,#N/A,FALSE,"단축2";#N/A,#N/A,FALSE,"단축3";#N/A,#N/A,FALSE,"장축";#N/A,#N/A,FALSE,"4WD"}</definedName>
    <definedName name="ㅇㄹㄴㄹㅇ" hidden="1">{#N/A,#N/A,FALSE,"단축1";#N/A,#N/A,FALSE,"단축2";#N/A,#N/A,FALSE,"단축3";#N/A,#N/A,FALSE,"장축";#N/A,#N/A,FALSE,"4WD"}</definedName>
    <definedName name="ㅇㄹㄴㅇ" localSheetId="1" hidden="1">{"targetdcf",#N/A,FALSE,"Merger consequences";"TARGETASSU",#N/A,FALSE,"Merger consequences";"TERMINAL VALUE",#N/A,FALSE,"Merger consequences"}</definedName>
    <definedName name="ㅇㄹㄴㅇ" localSheetId="3" hidden="1">{"targetdcf",#N/A,FALSE,"Merger consequences";"TARGETASSU",#N/A,FALSE,"Merger consequences";"TERMINAL VALUE",#N/A,FALSE,"Merger consequences"}</definedName>
    <definedName name="ㅇㄹㄴㅇ" localSheetId="0" hidden="1">{"targetdcf",#N/A,FALSE,"Merger consequences";"TARGETASSU",#N/A,FALSE,"Merger consequences";"TERMINAL VALUE",#N/A,FALSE,"Merger consequences"}</definedName>
    <definedName name="ㅇㄹㄴㅇ" hidden="1">{"targetdcf",#N/A,FALSE,"Merger consequences";"TARGETASSU",#N/A,FALSE,"Merger consequences";"TERMINAL VALUE",#N/A,FALSE,"Merger consequences"}</definedName>
    <definedName name="ㅇㅇㅇ" hidden="1">{#N/A,#N/A,FALSE,"단축1";#N/A,#N/A,FALSE,"단축2";#N/A,#N/A,FALSE,"단축3";#N/A,#N/A,FALSE,"장축";#N/A,#N/A,FALSE,"4WD"}</definedName>
    <definedName name="ㅇㅇㅇㅇ" localSheetId="1" hidden="1">{"targetdcf",#N/A,FALSE,"Merger consequences";"TARGETASSU",#N/A,FALSE,"Merger consequences";"TERMINAL VALUE",#N/A,FALSE,"Merger consequences"}</definedName>
    <definedName name="ㅇㅇㅇㅇ" localSheetId="3" hidden="1">{"targetdcf",#N/A,FALSE,"Merger consequences";"TARGETASSU",#N/A,FALSE,"Merger consequences";"TERMINAL VALUE",#N/A,FALSE,"Merger consequences"}</definedName>
    <definedName name="ㅇㅇㅇㅇ" localSheetId="0" hidden="1">{"targetdcf",#N/A,FALSE,"Merger consequences";"TARGETASSU",#N/A,FALSE,"Merger consequences";"TERMINAL VALUE",#N/A,FALSE,"Merger consequences"}</definedName>
    <definedName name="ㅇㅇㅇㅇ" hidden="1">{"targetdcf",#N/A,FALSE,"Merger consequences";"TARGETASSU",#N/A,FALSE,"Merger consequences";"TERMINAL VALUE",#N/A,FALSE,"Merger consequences"}</definedName>
    <definedName name="ㅇㅇㅇㅇㅇㅇㅇㅇㅇ" localSheetId="1" hidden="1">{"qchm_dcf",#N/A,FALSE,"QCHMDCF2";"qchm_terminal",#N/A,FALSE,"QCHMDCF2"}</definedName>
    <definedName name="ㅇㅇㅇㅇㅇㅇㅇㅇㅇ" localSheetId="3" hidden="1">{"qchm_dcf",#N/A,FALSE,"QCHMDCF2";"qchm_terminal",#N/A,FALSE,"QCHMDCF2"}</definedName>
    <definedName name="ㅇㅇㅇㅇㅇㅇㅇㅇㅇ" localSheetId="0" hidden="1">{"qchm_dcf",#N/A,FALSE,"QCHMDCF2";"qchm_terminal",#N/A,FALSE,"QCHMDCF2"}</definedName>
    <definedName name="ㅇㅇㅇㅇㅇㅇㅇㅇㅇ" hidden="1">{"qchm_dcf",#N/A,FALSE,"QCHMDCF2";"qchm_terminal",#N/A,FALSE,"QCHMDCF2"}</definedName>
    <definedName name="ㅇㅇㅇㅇㅎㄱ" localSheetId="1" hidden="1">{#N/A,#N/A,FALSE,"유첨1-1";#N/A,#N/A,FALSE,"1-2";#N/A,#N/A,FALSE,"1-3";#N/A,#N/A,FALSE,"1-4";#N/A,#N/A,FALSE,"1-5";#N/A,#N/A,FALSE,"1-6";#N/A,#N/A,FALSE,"1-7";#N/A,#N/A,FALSE,"1-8";#N/A,#N/A,FALSE,"1-9"}</definedName>
    <definedName name="ㅇㅇㅇㅇㅎㄱ" localSheetId="3" hidden="1">{#N/A,#N/A,FALSE,"유첨1-1";#N/A,#N/A,FALSE,"1-2";#N/A,#N/A,FALSE,"1-3";#N/A,#N/A,FALSE,"1-4";#N/A,#N/A,FALSE,"1-5";#N/A,#N/A,FALSE,"1-6";#N/A,#N/A,FALSE,"1-7";#N/A,#N/A,FALSE,"1-8";#N/A,#N/A,FALSE,"1-9"}</definedName>
    <definedName name="ㅇㅇㅇㅇㅎㄱ" localSheetId="0" hidden="1">{#N/A,#N/A,FALSE,"유첨1-1";#N/A,#N/A,FALSE,"1-2";#N/A,#N/A,FALSE,"1-3";#N/A,#N/A,FALSE,"1-4";#N/A,#N/A,FALSE,"1-5";#N/A,#N/A,FALSE,"1-6";#N/A,#N/A,FALSE,"1-7";#N/A,#N/A,FALSE,"1-8";#N/A,#N/A,FALSE,"1-9"}</definedName>
    <definedName name="ㅇㅇㅇㅇㅎㄱ" hidden="1">{#N/A,#N/A,FALSE,"유첨1-1";#N/A,#N/A,FALSE,"1-2";#N/A,#N/A,FALSE,"1-3";#N/A,#N/A,FALSE,"1-4";#N/A,#N/A,FALSE,"1-5";#N/A,#N/A,FALSE,"1-6";#N/A,#N/A,FALSE,"1-7";#N/A,#N/A,FALSE,"1-8";#N/A,#N/A,FALSE,"1-9"}</definedName>
    <definedName name="아ㅑ" localSheetId="1" hidden="1">{#N/A,#N/A,FALSE,"단축1";#N/A,#N/A,FALSE,"단축2";#N/A,#N/A,FALSE,"단축3";#N/A,#N/A,FALSE,"장축";#N/A,#N/A,FALSE,"4WD"}</definedName>
    <definedName name="아ㅑ" localSheetId="3" hidden="1">{#N/A,#N/A,FALSE,"단축1";#N/A,#N/A,FALSE,"단축2";#N/A,#N/A,FALSE,"단축3";#N/A,#N/A,FALSE,"장축";#N/A,#N/A,FALSE,"4WD"}</definedName>
    <definedName name="아ㅑ" localSheetId="0" hidden="1">{#N/A,#N/A,FALSE,"단축1";#N/A,#N/A,FALSE,"단축2";#N/A,#N/A,FALSE,"단축3";#N/A,#N/A,FALSE,"장축";#N/A,#N/A,FALSE,"4WD"}</definedName>
    <definedName name="아ㅑ" hidden="1">{#N/A,#N/A,FALSE,"단축1";#N/A,#N/A,FALSE,"단축2";#N/A,#N/A,FALSE,"단축3";#N/A,#N/A,FALSE,"장축";#N/A,#N/A,FALSE,"4WD"}</definedName>
    <definedName name="안현모" localSheetId="1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localSheetId="0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알" localSheetId="1" hidden="1">{#N/A,#N/A,FALSE,"단축1";#N/A,#N/A,FALSE,"단축2";#N/A,#N/A,FALSE,"단축3";#N/A,#N/A,FALSE,"장축";#N/A,#N/A,FALSE,"4WD"}</definedName>
    <definedName name="알" localSheetId="3" hidden="1">{#N/A,#N/A,FALSE,"단축1";#N/A,#N/A,FALSE,"단축2";#N/A,#N/A,FALSE,"단축3";#N/A,#N/A,FALSE,"장축";#N/A,#N/A,FALSE,"4WD"}</definedName>
    <definedName name="알" localSheetId="0" hidden="1">{#N/A,#N/A,FALSE,"단축1";#N/A,#N/A,FALSE,"단축2";#N/A,#N/A,FALSE,"단축3";#N/A,#N/A,FALSE,"장축";#N/A,#N/A,FALSE,"4WD"}</definedName>
    <definedName name="알" hidden="1">{#N/A,#N/A,FALSE,"단축1";#N/A,#N/A,FALSE,"단축2";#N/A,#N/A,FALSE,"단축3";#N/A,#N/A,FALSE,"장축";#N/A,#N/A,FALSE,"4WD"}</definedName>
    <definedName name="얄술" localSheetId="1" hidden="1">{#N/A,#N/A,FALSE,"단축1";#N/A,#N/A,FALSE,"단축2";#N/A,#N/A,FALSE,"단축3";#N/A,#N/A,FALSE,"장축";#N/A,#N/A,FALSE,"4WD"}</definedName>
    <definedName name="얄술" localSheetId="3" hidden="1">{#N/A,#N/A,FALSE,"단축1";#N/A,#N/A,FALSE,"단축2";#N/A,#N/A,FALSE,"단축3";#N/A,#N/A,FALSE,"장축";#N/A,#N/A,FALSE,"4WD"}</definedName>
    <definedName name="얄술" localSheetId="0" hidden="1">{#N/A,#N/A,FALSE,"단축1";#N/A,#N/A,FALSE,"단축2";#N/A,#N/A,FALSE,"단축3";#N/A,#N/A,FALSE,"장축";#N/A,#N/A,FALSE,"4WD"}</definedName>
    <definedName name="얄술" hidden="1">{#N/A,#N/A,FALSE,"단축1";#N/A,#N/A,FALSE,"단축2";#N/A,#N/A,FALSE,"단축3";#N/A,#N/A,FALSE,"장축";#N/A,#N/A,FALSE,"4WD"}</definedName>
    <definedName name="업체별" localSheetId="1" hidden="1">{#N/A,#N/A,FALSE,"총괄수정"}</definedName>
    <definedName name="업체별" localSheetId="3" hidden="1">{#N/A,#N/A,FALSE,"총괄수정"}</definedName>
    <definedName name="업체별" localSheetId="0" hidden="1">{#N/A,#N/A,FALSE,"총괄수정"}</definedName>
    <definedName name="업체별" hidden="1">{#N/A,#N/A,FALSE,"총괄수정"}</definedName>
    <definedName name="에어컨" localSheetId="1" hidden="1">{#N/A,#N/A,FALSE,"총괄수정"}</definedName>
    <definedName name="에어컨" localSheetId="3" hidden="1">{#N/A,#N/A,FALSE,"총괄수정"}</definedName>
    <definedName name="에어컨" localSheetId="0" hidden="1">{#N/A,#N/A,FALSE,"총괄수정"}</definedName>
    <definedName name="에어컨" hidden="1">{#N/A,#N/A,FALSE,"총괄수정"}</definedName>
    <definedName name="에이" localSheetId="1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localSheetId="0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진" localSheetId="1" hidden="1">{#N/A,#N/A,FALSE,"단축1";#N/A,#N/A,FALSE,"단축2";#N/A,#N/A,FALSE,"단축3";#N/A,#N/A,FALSE,"장축";#N/A,#N/A,FALSE,"4WD"}</definedName>
    <definedName name="엔진" localSheetId="3" hidden="1">{#N/A,#N/A,FALSE,"단축1";#N/A,#N/A,FALSE,"단축2";#N/A,#N/A,FALSE,"단축3";#N/A,#N/A,FALSE,"장축";#N/A,#N/A,FALSE,"4WD"}</definedName>
    <definedName name="엔진" localSheetId="0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엔진PT" localSheetId="1" hidden="1">{#N/A,#N/A,FALSE,"단축1";#N/A,#N/A,FALSE,"단축2";#N/A,#N/A,FALSE,"단축3";#N/A,#N/A,FALSE,"장축";#N/A,#N/A,FALSE,"4WD"}</definedName>
    <definedName name="엔진PT" localSheetId="3" hidden="1">{#N/A,#N/A,FALSE,"단축1";#N/A,#N/A,FALSE,"단축2";#N/A,#N/A,FALSE,"단축3";#N/A,#N/A,FALSE,"장축";#N/A,#N/A,FALSE,"4WD"}</definedName>
    <definedName name="엔진PT" localSheetId="0" hidden="1">{#N/A,#N/A,FALSE,"단축1";#N/A,#N/A,FALSE,"단축2";#N/A,#N/A,FALSE,"단축3";#N/A,#N/A,FALSE,"장축";#N/A,#N/A,FALSE,"4WD"}</definedName>
    <definedName name="엔진PT" hidden="1">{#N/A,#N/A,FALSE,"단축1";#N/A,#N/A,FALSE,"단축2";#N/A,#N/A,FALSE,"단축3";#N/A,#N/A,FALSE,"장축";#N/A,#N/A,FALSE,"4WD"}</definedName>
    <definedName name="엔진티엠" localSheetId="1" hidden="1">{#N/A,#N/A,FALSE,"단축1";#N/A,#N/A,FALSE,"단축2";#N/A,#N/A,FALSE,"단축3";#N/A,#N/A,FALSE,"장축";#N/A,#N/A,FALSE,"4WD"}</definedName>
    <definedName name="엔진티엠" localSheetId="3" hidden="1">{#N/A,#N/A,FALSE,"단축1";#N/A,#N/A,FALSE,"단축2";#N/A,#N/A,FALSE,"단축3";#N/A,#N/A,FALSE,"장축";#N/A,#N/A,FALSE,"4WD"}</definedName>
    <definedName name="엔진티엠" localSheetId="0" hidden="1">{#N/A,#N/A,FALSE,"단축1";#N/A,#N/A,FALSE,"단축2";#N/A,#N/A,FALSE,"단축3";#N/A,#N/A,FALSE,"장축";#N/A,#N/A,FALSE,"4WD"}</definedName>
    <definedName name="엔진티엠" hidden="1">{#N/A,#N/A,FALSE,"단축1";#N/A,#N/A,FALSE,"단축2";#N/A,#N/A,FALSE,"단축3";#N/A,#N/A,FALSE,"장축";#N/A,#N/A,FALSE,"4WD"}</definedName>
    <definedName name="연료펌프" localSheetId="1" hidden="1">[9]CAUDIT!#REF!</definedName>
    <definedName name="연료펌프" hidden="1">[9]CAUDIT!#REF!</definedName>
    <definedName name="연습파일" localSheetId="1" hidden="1">{#N/A,#N/A,FALSE,"단축1";#N/A,#N/A,FALSE,"단축2";#N/A,#N/A,FALSE,"단축3";#N/A,#N/A,FALSE,"장축";#N/A,#N/A,FALSE,"4WD"}</definedName>
    <definedName name="연습파일" localSheetId="3" hidden="1">{#N/A,#N/A,FALSE,"단축1";#N/A,#N/A,FALSE,"단축2";#N/A,#N/A,FALSE,"단축3";#N/A,#N/A,FALSE,"장축";#N/A,#N/A,FALSE,"4WD"}</definedName>
    <definedName name="연습파일" localSheetId="0" hidden="1">{#N/A,#N/A,FALSE,"단축1";#N/A,#N/A,FALSE,"단축2";#N/A,#N/A,FALSE,"단축3";#N/A,#N/A,FALSE,"장축";#N/A,#N/A,FALSE,"4WD"}</definedName>
    <definedName name="연습파일" hidden="1">{#N/A,#N/A,FALSE,"단축1";#N/A,#N/A,FALSE,"단축2";#N/A,#N/A,FALSE,"단축3";#N/A,#N/A,FALSE,"장축";#N/A,#N/A,FALSE,"4WD"}</definedName>
    <definedName name="영업" localSheetId="3" hidden="1">#REF!</definedName>
    <definedName name="영업" hidden="1">#REF!</definedName>
    <definedName name="영업2부_EBP영업1팀">[6]담당자!#REF!</definedName>
    <definedName name="영업2부_EBP영업2팀">[6]담당자!#REF!</definedName>
    <definedName name="영업2부_EBP영업3팀">[6]담당자!#REF!</definedName>
    <definedName name="영업2부_EBP영업4팀">[6]담당자!#REF!</definedName>
    <definedName name="영업2부_위하고영업1팀">[6]담당자!#REF!</definedName>
    <definedName name="영업2부_위하고영업2팀">[6]담당자!#REF!</definedName>
    <definedName name="영업3부_EBP영업1팀">[6]담당자!#REF!</definedName>
    <definedName name="영업3부_EBP영업2팀">[6]담당자!#REF!</definedName>
    <definedName name="영업3부_EBP영업3팀">[6]담당자!#REF!</definedName>
    <definedName name="영업3부_위하고영업1팀">[6]담당자!#REF!</definedName>
    <definedName name="영업3부_위하고영업2팀">[6]담당자!#REF!</definedName>
    <definedName name="영업담당" localSheetId="3">#REF!</definedName>
    <definedName name="영업담당">#REF!</definedName>
    <definedName name="예1" localSheetId="1" hidden="1">{#N/A,#N/A,FALSE,"유첨1-1";#N/A,#N/A,FALSE,"1-2";#N/A,#N/A,FALSE,"1-3";#N/A,#N/A,FALSE,"1-4";#N/A,#N/A,FALSE,"1-5";#N/A,#N/A,FALSE,"1-6";#N/A,#N/A,FALSE,"1-7";#N/A,#N/A,FALSE,"1-8";#N/A,#N/A,FALSE,"1-9"}</definedName>
    <definedName name="예1" localSheetId="3" hidden="1">{#N/A,#N/A,FALSE,"유첨1-1";#N/A,#N/A,FALSE,"1-2";#N/A,#N/A,FALSE,"1-3";#N/A,#N/A,FALSE,"1-4";#N/A,#N/A,FALSE,"1-5";#N/A,#N/A,FALSE,"1-6";#N/A,#N/A,FALSE,"1-7";#N/A,#N/A,FALSE,"1-8";#N/A,#N/A,FALSE,"1-9"}</definedName>
    <definedName name="예1" localSheetId="0" hidden="1">{#N/A,#N/A,FALSE,"유첨1-1";#N/A,#N/A,FALSE,"1-2";#N/A,#N/A,FALSE,"1-3";#N/A,#N/A,FALSE,"1-4";#N/A,#N/A,FALSE,"1-5";#N/A,#N/A,FALSE,"1-6";#N/A,#N/A,FALSE,"1-7";#N/A,#N/A,FALSE,"1-8";#N/A,#N/A,FALSE,"1-9"}</definedName>
    <definedName name="예1" hidden="1">{#N/A,#N/A,FALSE,"유첨1-1";#N/A,#N/A,FALSE,"1-2";#N/A,#N/A,FALSE,"1-3";#N/A,#N/A,FALSE,"1-4";#N/A,#N/A,FALSE,"1-5";#N/A,#N/A,FALSE,"1-6";#N/A,#N/A,FALSE,"1-7";#N/A,#N/A,FALSE,"1-8";#N/A,#N/A,FALSE,"1-9"}</definedName>
    <definedName name="예산" localSheetId="1" hidden="1">{#N/A,#N/A,FALSE,"단축1";#N/A,#N/A,FALSE,"단축2";#N/A,#N/A,FALSE,"단축3";#N/A,#N/A,FALSE,"장축";#N/A,#N/A,FALSE,"4WD"}</definedName>
    <definedName name="예산" localSheetId="3" hidden="1">{#N/A,#N/A,FALSE,"단축1";#N/A,#N/A,FALSE,"단축2";#N/A,#N/A,FALSE,"단축3";#N/A,#N/A,FALSE,"장축";#N/A,#N/A,FALSE,"4WD"}</definedName>
    <definedName name="예산" localSheetId="0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오성협" localSheetId="1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localSheetId="0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오" localSheetId="1" hidden="1">{"targetdcf",#N/A,FALSE,"Merger consequences";"TARGETASSU",#N/A,FALSE,"Merger consequences";"TERMINAL VALUE",#N/A,FALSE,"Merger consequences"}</definedName>
    <definedName name="오오" localSheetId="3" hidden="1">{"targetdcf",#N/A,FALSE,"Merger consequences";"TARGETASSU",#N/A,FALSE,"Merger consequences";"TERMINAL VALUE",#N/A,FALSE,"Merger consequences"}</definedName>
    <definedName name="오오" localSheetId="0" hidden="1">{"targetdcf",#N/A,FALSE,"Merger consequences";"TARGETASSU",#N/A,FALSE,"Merger consequences";"TERMINAL VALUE",#N/A,FALSE,"Merger consequences"}</definedName>
    <definedName name="오오" hidden="1">{"targetdcf",#N/A,FALSE,"Merger consequences";"TARGETASSU",#N/A,FALSE,"Merger consequences";"TERMINAL VALUE",#N/A,FALSE,"Merger consequences"}</definedName>
    <definedName name="오익환" localSheetId="1" hidden="1">{#N/A,#N/A,FALSE,"단축1";#N/A,#N/A,FALSE,"단축2";#N/A,#N/A,FALSE,"단축3";#N/A,#N/A,FALSE,"장축";#N/A,#N/A,FALSE,"4WD"}</definedName>
    <definedName name="오익환" localSheetId="3" hidden="1">{#N/A,#N/A,FALSE,"단축1";#N/A,#N/A,FALSE,"단축2";#N/A,#N/A,FALSE,"단축3";#N/A,#N/A,FALSE,"장축";#N/A,#N/A,FALSE,"4WD"}</definedName>
    <definedName name="오익환" localSheetId="0" hidden="1">{#N/A,#N/A,FALSE,"단축1";#N/A,#N/A,FALSE,"단축2";#N/A,#N/A,FALSE,"단축3";#N/A,#N/A,FALSE,"장축";#N/A,#N/A,FALSE,"4WD"}</definedName>
    <definedName name="오익환" hidden="1">{#N/A,#N/A,FALSE,"단축1";#N/A,#N/A,FALSE,"단축2";#N/A,#N/A,FALSE,"단축3";#N/A,#N/A,FALSE,"장축";#N/A,#N/A,FALSE,"4WD"}</definedName>
    <definedName name="오ㅓ라" localSheetId="1" hidden="1">{"targetdcf",#N/A,FALSE,"Merger consequences";"TARGETASSU",#N/A,FALSE,"Merger consequences";"TERMINAL VALUE",#N/A,FALSE,"Merger consequences"}</definedName>
    <definedName name="오ㅓ라" localSheetId="3" hidden="1">{"targetdcf",#N/A,FALSE,"Merger consequences";"TARGETASSU",#N/A,FALSE,"Merger consequences";"TERMINAL VALUE",#N/A,FALSE,"Merger consequences"}</definedName>
    <definedName name="오ㅓ라" localSheetId="0" hidden="1">{"targetdcf",#N/A,FALSE,"Merger consequences";"TARGETASSU",#N/A,FALSE,"Merger consequences";"TERMINAL VALUE",#N/A,FALSE,"Merger consequences"}</definedName>
    <definedName name="오ㅓ라" hidden="1">{"targetdcf",#N/A,FALSE,"Merger consequences";"TARGETASSU",#N/A,FALSE,"Merger consequences";"TERMINAL VALUE",#N/A,FALSE,"Merger consequences"}</definedName>
    <definedName name="왜" localSheetId="1" hidden="1">{#N/A,#N/A,FALSE,"단축1";#N/A,#N/A,FALSE,"단축2";#N/A,#N/A,FALSE,"단축3";#N/A,#N/A,FALSE,"장축";#N/A,#N/A,FALSE,"4WD"}</definedName>
    <definedName name="왜" localSheetId="3" hidden="1">{#N/A,#N/A,FALSE,"단축1";#N/A,#N/A,FALSE,"단축2";#N/A,#N/A,FALSE,"단축3";#N/A,#N/A,FALSE,"장축";#N/A,#N/A,FALSE,"4WD"}</definedName>
    <definedName name="왜" localSheetId="0" hidden="1">{#N/A,#N/A,FALSE,"단축1";#N/A,#N/A,FALSE,"단축2";#N/A,#N/A,FALSE,"단축3";#N/A,#N/A,FALSE,"장축";#N/A,#N/A,FALSE,"4WD"}</definedName>
    <definedName name="왜" hidden="1">{#N/A,#N/A,FALSE,"단축1";#N/A,#N/A,FALSE,"단축2";#N/A,#N/A,FALSE,"단축3";#N/A,#N/A,FALSE,"장축";#N/A,#N/A,FALSE,"4WD"}</definedName>
    <definedName name="왜그래" localSheetId="1" hidden="1">{#N/A,#N/A,FALSE,"단축1";#N/A,#N/A,FALSE,"단축2";#N/A,#N/A,FALSE,"단축3";#N/A,#N/A,FALSE,"장축";#N/A,#N/A,FALSE,"4WD"}</definedName>
    <definedName name="왜그래" localSheetId="3" hidden="1">{#N/A,#N/A,FALSE,"단축1";#N/A,#N/A,FALSE,"단축2";#N/A,#N/A,FALSE,"단축3";#N/A,#N/A,FALSE,"장축";#N/A,#N/A,FALSE,"4WD"}</definedName>
    <definedName name="왜그래" localSheetId="0" hidden="1">{#N/A,#N/A,FALSE,"단축1";#N/A,#N/A,FALSE,"단축2";#N/A,#N/A,FALSE,"단축3";#N/A,#N/A,FALSE,"장축";#N/A,#N/A,FALSE,"4WD"}</definedName>
    <definedName name="왜그래" hidden="1">{#N/A,#N/A,FALSE,"단축1";#N/A,#N/A,FALSE,"단축2";#N/A,#N/A,FALSE,"단축3";#N/A,#N/A,FALSE,"장축";#N/A,#N/A,FALSE,"4WD"}</definedName>
    <definedName name="외주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외주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외주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외주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외주계획" localSheetId="1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localSheetId="0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localSheetId="3" hidden="1">#REF!</definedName>
    <definedName name="요약" hidden="1">#REF!</definedName>
    <definedName name="용" localSheetId="1" hidden="1">{#N/A,#N/A,FALSE,"단축1";#N/A,#N/A,FALSE,"단축2";#N/A,#N/A,FALSE,"단축3";#N/A,#N/A,FALSE,"장축";#N/A,#N/A,FALSE,"4WD"}</definedName>
    <definedName name="용" localSheetId="3" hidden="1">{#N/A,#N/A,FALSE,"단축1";#N/A,#N/A,FALSE,"단축2";#N/A,#N/A,FALSE,"단축3";#N/A,#N/A,FALSE,"장축";#N/A,#N/A,FALSE,"4WD"}</definedName>
    <definedName name="용" localSheetId="0" hidden="1">{#N/A,#N/A,FALSE,"단축1";#N/A,#N/A,FALSE,"단축2";#N/A,#N/A,FALSE,"단축3";#N/A,#N/A,FALSE,"장축";#N/A,#N/A,FALSE,"4WD"}</definedName>
    <definedName name="용" hidden="1">{#N/A,#N/A,FALSE,"단축1";#N/A,#N/A,FALSE,"단축2";#N/A,#N/A,FALSE,"단축3";#N/A,#N/A,FALSE,"장축";#N/A,#N/A,FALSE,"4WD"}</definedName>
    <definedName name="용도차" localSheetId="1" hidden="1">{#N/A,#N/A,FALSE,"단축1";#N/A,#N/A,FALSE,"단축2";#N/A,#N/A,FALSE,"단축3";#N/A,#N/A,FALSE,"장축";#N/A,#N/A,FALSE,"4WD"}</definedName>
    <definedName name="용도차" localSheetId="3" hidden="1">{#N/A,#N/A,FALSE,"단축1";#N/A,#N/A,FALSE,"단축2";#N/A,#N/A,FALSE,"단축3";#N/A,#N/A,FALSE,"장축";#N/A,#N/A,FALSE,"4WD"}</definedName>
    <definedName name="용도차" localSheetId="0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석" localSheetId="1" hidden="1">{#N/A,#N/A,FALSE,"단축1";#N/A,#N/A,FALSE,"단축2";#N/A,#N/A,FALSE,"단축3";#N/A,#N/A,FALSE,"장축";#N/A,#N/A,FALSE,"4WD"}</definedName>
    <definedName name="용석" localSheetId="3" hidden="1">{#N/A,#N/A,FALSE,"단축1";#N/A,#N/A,FALSE,"단축2";#N/A,#N/A,FALSE,"단축3";#N/A,#N/A,FALSE,"장축";#N/A,#N/A,FALSE,"4WD"}</definedName>
    <definedName name="용석" localSheetId="0" hidden="1">{#N/A,#N/A,FALSE,"단축1";#N/A,#N/A,FALSE,"단축2";#N/A,#N/A,FALSE,"단축3";#N/A,#N/A,FALSE,"장축";#N/A,#N/A,FALSE,"4WD"}</definedName>
    <definedName name="용석" hidden="1">{#N/A,#N/A,FALSE,"단축1";#N/A,#N/A,FALSE,"단축2";#N/A,#N/A,FALSE,"단축3";#N/A,#N/A,FALSE,"장축";#N/A,#N/A,FALSE,"4WD"}</definedName>
    <definedName name="원" localSheetId="1" hidden="1">{#N/A,#N/A,FALSE,"총괄수정"}</definedName>
    <definedName name="원" localSheetId="3" hidden="1">{#N/A,#N/A,FALSE,"총괄수정"}</definedName>
    <definedName name="원" localSheetId="0" hidden="1">{#N/A,#N/A,FALSE,"총괄수정"}</definedName>
    <definedName name="원" hidden="1">{#N/A,#N/A,FALSE,"총괄수정"}</definedName>
    <definedName name="원형강" localSheetId="1" hidden="1">{#N/A,#N/A,FALSE,"총괄수정"}</definedName>
    <definedName name="원형강" localSheetId="3" hidden="1">{#N/A,#N/A,FALSE,"총괄수정"}</definedName>
    <definedName name="원형강" localSheetId="0" hidden="1">{#N/A,#N/A,FALSE,"총괄수정"}</definedName>
    <definedName name="원형강" hidden="1">{#N/A,#N/A,FALSE,"총괄수정"}</definedName>
    <definedName name="유럽" localSheetId="1" hidden="1">{#N/A,#N/A,FALSE,"단축1";#N/A,#N/A,FALSE,"단축2";#N/A,#N/A,FALSE,"단축3";#N/A,#N/A,FALSE,"장축";#N/A,#N/A,FALSE,"4WD"}</definedName>
    <definedName name="유럽" localSheetId="3" hidden="1">{#N/A,#N/A,FALSE,"단축1";#N/A,#N/A,FALSE,"단축2";#N/A,#N/A,FALSE,"단축3";#N/A,#N/A,FALSE,"장축";#N/A,#N/A,FALSE,"4WD"}</definedName>
    <definedName name="유럽" localSheetId="0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자" localSheetId="1" hidden="1">{"'표지'!$B$5"}</definedName>
    <definedName name="유자" localSheetId="3" hidden="1">{"'표지'!$B$5"}</definedName>
    <definedName name="유자" localSheetId="0" hidden="1">{"'표지'!$B$5"}</definedName>
    <definedName name="유자" hidden="1">{"'표지'!$B$5"}</definedName>
    <definedName name="의장" localSheetId="1" hidden="1">{#N/A,#N/A,FALSE,"단축1";#N/A,#N/A,FALSE,"단축2";#N/A,#N/A,FALSE,"단축3";#N/A,#N/A,FALSE,"장축";#N/A,#N/A,FALSE,"4WD"}</definedName>
    <definedName name="의장" localSheetId="3" hidden="1">{#N/A,#N/A,FALSE,"단축1";#N/A,#N/A,FALSE,"단축2";#N/A,#N/A,FALSE,"단축3";#N/A,#N/A,FALSE,"장축";#N/A,#N/A,FALSE,"4WD"}</definedName>
    <definedName name="의장" localSheetId="0" hidden="1">{#N/A,#N/A,FALSE,"단축1";#N/A,#N/A,FALSE,"단축2";#N/A,#N/A,FALSE,"단축3";#N/A,#N/A,FALSE,"장축";#N/A,#N/A,FALSE,"4WD"}</definedName>
    <definedName name="의장" hidden="1">{#N/A,#N/A,FALSE,"단축1";#N/A,#N/A,FALSE,"단축2";#N/A,#N/A,FALSE,"단축3";#N/A,#N/A,FALSE,"장축";#N/A,#N/A,FALSE,"4WD"}</definedName>
    <definedName name="이근한" localSheetId="1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localSheetId="0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름" localSheetId="1" hidden="1">{#N/A,#N/A,FALSE,"표지";#N/A,#N/A,FALSE,"1.손익현황";#N/A,#N/A,FALSE,"첨1.손익분석";#N/A,#N/A,FALSE,"2.재무재표";#N/A,#N/A,FALSE,"3.자금현황";#N/A,#N/A,FALSE,"4.생산판매"}</definedName>
    <definedName name="이름" localSheetId="3" hidden="1">{#N/A,#N/A,FALSE,"표지";#N/A,#N/A,FALSE,"1.손익현황";#N/A,#N/A,FALSE,"첨1.손익분석";#N/A,#N/A,FALSE,"2.재무재표";#N/A,#N/A,FALSE,"3.자금현황";#N/A,#N/A,FALSE,"4.생산판매"}</definedName>
    <definedName name="이름" localSheetId="0" hidden="1">{#N/A,#N/A,FALSE,"표지";#N/A,#N/A,FALSE,"1.손익현황";#N/A,#N/A,FALSE,"첨1.손익분석";#N/A,#N/A,FALSE,"2.재무재표";#N/A,#N/A,FALSE,"3.자금현황";#N/A,#N/A,FALSE,"4.생산판매"}</definedName>
    <definedName name="이름" hidden="1">{#N/A,#N/A,FALSE,"표지";#N/A,#N/A,FALSE,"1.손익현황";#N/A,#N/A,FALSE,"첨1.손익분석";#N/A,#N/A,FALSE,"2.재무재표";#N/A,#N/A,FALSE,"3.자금현황";#N/A,#N/A,FALSE,"4.생산판매"}</definedName>
    <definedName name="이명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계" localSheetId="1" hidden="1">{#N/A,#N/A,TRUE,"Y생산";#N/A,#N/A,TRUE,"Y판매";#N/A,#N/A,TRUE,"Y총물량";#N/A,#N/A,TRUE,"Y능력";#N/A,#N/A,TRUE,"YKD"}</definedName>
    <definedName name="인계" localSheetId="3" hidden="1">{#N/A,#N/A,TRUE,"Y생산";#N/A,#N/A,TRUE,"Y판매";#N/A,#N/A,TRUE,"Y총물량";#N/A,#N/A,TRUE,"Y능력";#N/A,#N/A,TRUE,"YKD"}</definedName>
    <definedName name="인계" localSheetId="0" hidden="1">{#N/A,#N/A,TRUE,"Y생산";#N/A,#N/A,TRUE,"Y판매";#N/A,#N/A,TRUE,"Y총물량";#N/A,#N/A,TRUE,"Y능력";#N/A,#N/A,TRUE,"YKD"}</definedName>
    <definedName name="인계" hidden="1">{#N/A,#N/A,TRUE,"Y생산";#N/A,#N/A,TRUE,"Y판매";#N/A,#N/A,TRUE,"Y총물량";#N/A,#N/A,TRUE,"Y능력";#N/A,#N/A,TRUE,"YKD"}</definedName>
    <definedName name="인당" localSheetId="1" hidden="1">{#N/A,#N/A,FALSE,"총괄수정"}</definedName>
    <definedName name="인당" localSheetId="3" hidden="1">{#N/A,#N/A,FALSE,"총괄수정"}</definedName>
    <definedName name="인당" localSheetId="0" hidden="1">{#N/A,#N/A,FALSE,"총괄수정"}</definedName>
    <definedName name="인당" hidden="1">{#N/A,#N/A,FALSE,"총괄수정"}</definedName>
    <definedName name="일이일" localSheetId="1" hidden="1">{#N/A,#N/A,FALSE,"현대기술상추천서(2-1)";#N/A,#N/A,FALSE,"2-2";#N/A,#N/A,FALSE,"2-3";#N/A,#N/A,FALSE,"서식2-4";#N/A,#N/A,FALSE,"(2-5)";#N/A,#N/A,FALSE,"(2-6)";#N/A,#N/A,FALSE,"(2-7)"}</definedName>
    <definedName name="일이일" localSheetId="3" hidden="1">{#N/A,#N/A,FALSE,"현대기술상추천서(2-1)";#N/A,#N/A,FALSE,"2-2";#N/A,#N/A,FALSE,"2-3";#N/A,#N/A,FALSE,"서식2-4";#N/A,#N/A,FALSE,"(2-5)";#N/A,#N/A,FALSE,"(2-6)";#N/A,#N/A,FALSE,"(2-7)"}</definedName>
    <definedName name="일이일" localSheetId="0" hidden="1">{#N/A,#N/A,FALSE,"현대기술상추천서(2-1)";#N/A,#N/A,FALSE,"2-2";#N/A,#N/A,FALSE,"2-3";#N/A,#N/A,FALSE,"서식2-4";#N/A,#N/A,FALSE,"(2-5)";#N/A,#N/A,FALSE,"(2-6)";#N/A,#N/A,FALSE,"(2-7)"}</definedName>
    <definedName name="일이일" hidden="1">{#N/A,#N/A,FALSE,"현대기술상추천서(2-1)";#N/A,#N/A,FALSE,"2-2";#N/A,#N/A,FALSE,"2-3";#N/A,#N/A,FALSE,"서식2-4";#N/A,#N/A,FALSE,"(2-5)";#N/A,#N/A,FALSE,"(2-6)";#N/A,#N/A,FALSE,"(2-7)"}</definedName>
    <definedName name="일이ㅏㄹ" localSheetId="1" hidden="1">{#N/A,#N/A,FALSE,"단축1";#N/A,#N/A,FALSE,"단축2";#N/A,#N/A,FALSE,"단축3";#N/A,#N/A,FALSE,"장축";#N/A,#N/A,FALSE,"4WD"}</definedName>
    <definedName name="일이ㅏㄹ" localSheetId="3" hidden="1">{#N/A,#N/A,FALSE,"단축1";#N/A,#N/A,FALSE,"단축2";#N/A,#N/A,FALSE,"단축3";#N/A,#N/A,FALSE,"장축";#N/A,#N/A,FALSE,"4WD"}</definedName>
    <definedName name="일이ㅏㄹ" localSheetId="0" hidden="1">{#N/A,#N/A,FALSE,"단축1";#N/A,#N/A,FALSE,"단축2";#N/A,#N/A,FALSE,"단축3";#N/A,#N/A,FALSE,"장축";#N/A,#N/A,FALSE,"4WD"}</definedName>
    <definedName name="일이ㅏㄹ" hidden="1">{#N/A,#N/A,FALSE,"단축1";#N/A,#N/A,FALSE,"단축2";#N/A,#N/A,FALSE,"단축3";#N/A,#N/A,FALSE,"장축";#N/A,#N/A,FALSE,"4WD"}</definedName>
    <definedName name="ㅈ" localSheetId="1" hidden="1">{#N/A,#N/A,TRUE,"Y생산";#N/A,#N/A,TRUE,"Y판매";#N/A,#N/A,TRUE,"Y총물량";#N/A,#N/A,TRUE,"Y능력";#N/A,#N/A,TRUE,"YKD"}</definedName>
    <definedName name="ㅈ" localSheetId="3" hidden="1">{#N/A,#N/A,TRUE,"Y생산";#N/A,#N/A,TRUE,"Y판매";#N/A,#N/A,TRUE,"Y총물량";#N/A,#N/A,TRUE,"Y능력";#N/A,#N/A,TRUE,"YKD"}</definedName>
    <definedName name="ㅈ" localSheetId="0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ㄷㄳ" localSheetId="1" hidden="1">{#N/A,#N/A,FALSE,"신규dep";#N/A,#N/A,FALSE,"신규dep-금형상각후";#N/A,#N/A,FALSE,"신규dep-연구비상각후";#N/A,#N/A,FALSE,"신규dep-기계,공구상각후"}</definedName>
    <definedName name="ㅈㄷㄳ" localSheetId="3" hidden="1">{#N/A,#N/A,FALSE,"신규dep";#N/A,#N/A,FALSE,"신규dep-금형상각후";#N/A,#N/A,FALSE,"신규dep-연구비상각후";#N/A,#N/A,FALSE,"신규dep-기계,공구상각후"}</definedName>
    <definedName name="ㅈㄷㄳ" localSheetId="0" hidden="1">{#N/A,#N/A,FALSE,"신규dep";#N/A,#N/A,FALSE,"신규dep-금형상각후";#N/A,#N/A,FALSE,"신규dep-연구비상각후";#N/A,#N/A,FALSE,"신규dep-기계,공구상각후"}</definedName>
    <definedName name="ㅈㄷㄳ" hidden="1">{#N/A,#N/A,FALSE,"신규dep";#N/A,#N/A,FALSE,"신규dep-금형상각후";#N/A,#N/A,FALSE,"신규dep-연구비상각후";#N/A,#N/A,FALSE,"신규dep-기계,공구상각후"}</definedName>
    <definedName name="ㅈㄷㅈ" localSheetId="1" hidden="1">{#N/A,#N/A,FALSE,"단축1";#N/A,#N/A,FALSE,"단축2";#N/A,#N/A,FALSE,"단축3";#N/A,#N/A,FALSE,"장축";#N/A,#N/A,FALSE,"4WD"}</definedName>
    <definedName name="ㅈㄷㅈ" localSheetId="3" hidden="1">{#N/A,#N/A,FALSE,"단축1";#N/A,#N/A,FALSE,"단축2";#N/A,#N/A,FALSE,"단축3";#N/A,#N/A,FALSE,"장축";#N/A,#N/A,FALSE,"4WD"}</definedName>
    <definedName name="ㅈㄷㅈ" localSheetId="0" hidden="1">{#N/A,#N/A,FALSE,"단축1";#N/A,#N/A,FALSE,"단축2";#N/A,#N/A,FALSE,"단축3";#N/A,#N/A,FALSE,"장축";#N/A,#N/A,FALSE,"4WD"}</definedName>
    <definedName name="ㅈㄷㅈ" hidden="1">{#N/A,#N/A,FALSE,"단축1";#N/A,#N/A,FALSE,"단축2";#N/A,#N/A,FALSE,"단축3";#N/A,#N/A,FALSE,"장축";#N/A,#N/A,FALSE,"4WD"}</definedName>
    <definedName name="ㅈ전뵹처아ㅓ" localSheetId="1" hidden="1">{#N/A,#N/A,FALSE,"단축1";#N/A,#N/A,FALSE,"단축2";#N/A,#N/A,FALSE,"단축3";#N/A,#N/A,FALSE,"장축";#N/A,#N/A,FALSE,"4WD"}</definedName>
    <definedName name="ㅈ전뵹처아ㅓ" localSheetId="3" hidden="1">{#N/A,#N/A,FALSE,"단축1";#N/A,#N/A,FALSE,"단축2";#N/A,#N/A,FALSE,"단축3";#N/A,#N/A,FALSE,"장축";#N/A,#N/A,FALSE,"4WD"}</definedName>
    <definedName name="ㅈ전뵹처아ㅓ" localSheetId="0" hidden="1">{#N/A,#N/A,FALSE,"단축1";#N/A,#N/A,FALSE,"단축2";#N/A,#N/A,FALSE,"단축3";#N/A,#N/A,FALSE,"장축";#N/A,#N/A,FALSE,"4WD"}</definedName>
    <definedName name="ㅈ전뵹처아ㅓ" hidden="1">{#N/A,#N/A,FALSE,"단축1";#N/A,#N/A,FALSE,"단축2";#N/A,#N/A,FALSE,"단축3";#N/A,#N/A,FALSE,"장축";#N/A,#N/A,FALSE,"4WD"}</definedName>
    <definedName name="자잦" localSheetId="1" hidden="1">{#N/A,#N/A,FALSE,"단축1";#N/A,#N/A,FALSE,"단축2";#N/A,#N/A,FALSE,"단축3";#N/A,#N/A,FALSE,"장축";#N/A,#N/A,FALSE,"4WD"}</definedName>
    <definedName name="자잦" localSheetId="3" hidden="1">{#N/A,#N/A,FALSE,"단축1";#N/A,#N/A,FALSE,"단축2";#N/A,#N/A,FALSE,"단축3";#N/A,#N/A,FALSE,"장축";#N/A,#N/A,FALSE,"4WD"}</definedName>
    <definedName name="자잦" localSheetId="0" hidden="1">{#N/A,#N/A,FALSE,"단축1";#N/A,#N/A,FALSE,"단축2";#N/A,#N/A,FALSE,"단축3";#N/A,#N/A,FALSE,"장축";#N/A,#N/A,FALSE,"4WD"}</definedName>
    <definedName name="자잦" hidden="1">{#N/A,#N/A,FALSE,"단축1";#N/A,#N/A,FALSE,"단축2";#N/A,#N/A,FALSE,"단축3";#N/A,#N/A,FALSE,"장축";#N/A,#N/A,FALSE,"4WD"}</definedName>
    <definedName name="자재기준" localSheetId="1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localSheetId="0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1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localSheetId="0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1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localSheetId="0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저눅" localSheetId="1" hidden="1">{#N/A,#N/A,FALSE,"단축1";#N/A,#N/A,FALSE,"단축2";#N/A,#N/A,FALSE,"단축3";#N/A,#N/A,FALSE,"장축";#N/A,#N/A,FALSE,"4WD"}</definedName>
    <definedName name="저눅" localSheetId="3" hidden="1">{#N/A,#N/A,FALSE,"단축1";#N/A,#N/A,FALSE,"단축2";#N/A,#N/A,FALSE,"단축3";#N/A,#N/A,FALSE,"장축";#N/A,#N/A,FALSE,"4WD"}</definedName>
    <definedName name="저눅" localSheetId="0" hidden="1">{#N/A,#N/A,FALSE,"단축1";#N/A,#N/A,FALSE,"단축2";#N/A,#N/A,FALSE,"단축3";#N/A,#N/A,FALSE,"장축";#N/A,#N/A,FALSE,"4WD"}</definedName>
    <definedName name="저눅" hidden="1">{#N/A,#N/A,FALSE,"단축1";#N/A,#N/A,FALSE,"단축2";#N/A,#N/A,FALSE,"단축3";#N/A,#N/A,FALSE,"장축";#N/A,#N/A,FALSE,"4WD"}</definedName>
    <definedName name="전" localSheetId="1" hidden="1">{#N/A,#N/A,FALSE,"신규dep";#N/A,#N/A,FALSE,"신규dep-금형상각후";#N/A,#N/A,FALSE,"신규dep-연구비상각후";#N/A,#N/A,FALSE,"신규dep-기계,공구상각후"}</definedName>
    <definedName name="전" localSheetId="3" hidden="1">{#N/A,#N/A,FALSE,"신규dep";#N/A,#N/A,FALSE,"신규dep-금형상각후";#N/A,#N/A,FALSE,"신규dep-연구비상각후";#N/A,#N/A,FALSE,"신규dep-기계,공구상각후"}</definedName>
    <definedName name="전" localSheetId="0" hidden="1">{#N/A,#N/A,FALSE,"신규dep";#N/A,#N/A,FALSE,"신규dep-금형상각후";#N/A,#N/A,FALSE,"신규dep-연구비상각후";#N/A,#N/A,FALSE,"신규dep-기계,공구상각후"}</definedName>
    <definedName name="전" hidden="1">{#N/A,#N/A,FALSE,"신규dep";#N/A,#N/A,FALSE,"신규dep-금형상각후";#N/A,#N/A,FALSE,"신규dep-연구비상각후";#N/A,#N/A,FALSE,"신규dep-기계,공구상각후"}</definedName>
    <definedName name="전개계획" localSheetId="1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localSheetId="0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1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localSheetId="0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1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localSheetId="0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1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localSheetId="0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병" localSheetId="1" hidden="1">{#N/A,#N/A,FALSE,"단축1";#N/A,#N/A,FALSE,"단축2";#N/A,#N/A,FALSE,"단축3";#N/A,#N/A,FALSE,"장축";#N/A,#N/A,FALSE,"4WD"}</definedName>
    <definedName name="전병" localSheetId="3" hidden="1">{#N/A,#N/A,FALSE,"단축1";#N/A,#N/A,FALSE,"단축2";#N/A,#N/A,FALSE,"단축3";#N/A,#N/A,FALSE,"장축";#N/A,#N/A,FALSE,"4WD"}</definedName>
    <definedName name="전병" localSheetId="0" hidden="1">{#N/A,#N/A,FALSE,"단축1";#N/A,#N/A,FALSE,"단축2";#N/A,#N/A,FALSE,"단축3";#N/A,#N/A,FALSE,"장축";#N/A,#N/A,FALSE,"4WD"}</definedName>
    <definedName name="전병" hidden="1">{#N/A,#N/A,FALSE,"단축1";#N/A,#N/A,FALSE,"단축2";#N/A,#N/A,FALSE,"단축3";#N/A,#N/A,FALSE,"장축";#N/A,#N/A,FALSE,"4WD"}</definedName>
    <definedName name="전사" localSheetId="1" hidden="1">{#N/A,#N/A,FALSE,"단축1";#N/A,#N/A,FALSE,"단축2";#N/A,#N/A,FALSE,"단축3";#N/A,#N/A,FALSE,"장축";#N/A,#N/A,FALSE,"4WD"}</definedName>
    <definedName name="전사" localSheetId="3" hidden="1">{#N/A,#N/A,FALSE,"단축1";#N/A,#N/A,FALSE,"단축2";#N/A,#N/A,FALSE,"단축3";#N/A,#N/A,FALSE,"장축";#N/A,#N/A,FALSE,"4WD"}</definedName>
    <definedName name="전사" localSheetId="0" hidden="1">{#N/A,#N/A,FALSE,"단축1";#N/A,#N/A,FALSE,"단축2";#N/A,#N/A,FALSE,"단축3";#N/A,#N/A,FALSE,"장축";#N/A,#N/A,FALSE,"4WD"}</definedName>
    <definedName name="전사" hidden="1">{#N/A,#N/A,FALSE,"단축1";#N/A,#N/A,FALSE,"단축2";#N/A,#N/A,FALSE,"단축3";#N/A,#N/A,FALSE,"장축";#N/A,#N/A,FALSE,"4WD"}</definedName>
    <definedName name="전우기" localSheetId="1" hidden="1">{#N/A,#N/A,FALSE,"단축1";#N/A,#N/A,FALSE,"단축2";#N/A,#N/A,FALSE,"단축3";#N/A,#N/A,FALSE,"장축";#N/A,#N/A,FALSE,"4WD"}</definedName>
    <definedName name="전우기" localSheetId="3" hidden="1">{#N/A,#N/A,FALSE,"단축1";#N/A,#N/A,FALSE,"단축2";#N/A,#N/A,FALSE,"단축3";#N/A,#N/A,FALSE,"장축";#N/A,#N/A,FALSE,"4WD"}</definedName>
    <definedName name="전우기" localSheetId="0" hidden="1">{#N/A,#N/A,FALSE,"단축1";#N/A,#N/A,FALSE,"단축2";#N/A,#N/A,FALSE,"단축3";#N/A,#N/A,FALSE,"장축";#N/A,#N/A,FALSE,"4WD"}</definedName>
    <definedName name="전우기" hidden="1">{#N/A,#N/A,FALSE,"단축1";#N/A,#N/A,FALSE,"단축2";#N/A,#N/A,FALSE,"단축3";#N/A,#N/A,FALSE,"장축";#N/A,#N/A,FALSE,"4WD"}</definedName>
    <definedName name="전욱" localSheetId="1" hidden="1">{#N/A,#N/A,FALSE,"단축1";#N/A,#N/A,FALSE,"단축2";#N/A,#N/A,FALSE,"단축3";#N/A,#N/A,FALSE,"장축";#N/A,#N/A,FALSE,"4WD"}</definedName>
    <definedName name="전욱" localSheetId="3" hidden="1">{#N/A,#N/A,FALSE,"단축1";#N/A,#N/A,FALSE,"단축2";#N/A,#N/A,FALSE,"단축3";#N/A,#N/A,FALSE,"장축";#N/A,#N/A,FALSE,"4WD"}</definedName>
    <definedName name="전욱" localSheetId="0" hidden="1">{#N/A,#N/A,FALSE,"단축1";#N/A,#N/A,FALSE,"단축2";#N/A,#N/A,FALSE,"단축3";#N/A,#N/A,FALSE,"장축";#N/A,#N/A,FALSE,"4WD"}</definedName>
    <definedName name="전욱" hidden="1">{#N/A,#N/A,FALSE,"단축1";#N/A,#N/A,FALSE,"단축2";#N/A,#N/A,FALSE,"단축3";#N/A,#N/A,FALSE,"장축";#N/A,#N/A,FALSE,"4WD"}</definedName>
    <definedName name="전철" hidden="1">0</definedName>
    <definedName name="전체종합2" localSheetId="1" hidden="1">{#N/A,#N/A,FALSE,"단축1";#N/A,#N/A,FALSE,"단축2";#N/A,#N/A,FALSE,"단축3";#N/A,#N/A,FALSE,"장축";#N/A,#N/A,FALSE,"4WD"}</definedName>
    <definedName name="전체종합2" localSheetId="3" hidden="1">{#N/A,#N/A,FALSE,"단축1";#N/A,#N/A,FALSE,"단축2";#N/A,#N/A,FALSE,"단축3";#N/A,#N/A,FALSE,"장축";#N/A,#N/A,FALSE,"4WD"}</definedName>
    <definedName name="전체종합2" localSheetId="0" hidden="1">{#N/A,#N/A,FALSE,"단축1";#N/A,#N/A,FALSE,"단축2";#N/A,#N/A,FALSE,"단축3";#N/A,#N/A,FALSE,"장축";#N/A,#N/A,FALSE,"4WD"}</definedName>
    <definedName name="전체종합2" hidden="1">{#N/A,#N/A,FALSE,"단축1";#N/A,#N/A,FALSE,"단축2";#N/A,#N/A,FALSE,"단축3";#N/A,#N/A,FALSE,"장축";#N/A,#N/A,FALSE,"4WD"}</definedName>
    <definedName name="전체현황" localSheetId="1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localSheetId="0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젖" localSheetId="1" hidden="1">{#N/A,#N/A,FALSE,"단축1";#N/A,#N/A,FALSE,"단축2";#N/A,#N/A,FALSE,"단축3";#N/A,#N/A,FALSE,"장축";#N/A,#N/A,FALSE,"4WD"}</definedName>
    <definedName name="젖" localSheetId="3" hidden="1">{#N/A,#N/A,FALSE,"단축1";#N/A,#N/A,FALSE,"단축2";#N/A,#N/A,FALSE,"단축3";#N/A,#N/A,FALSE,"장축";#N/A,#N/A,FALSE,"4WD"}</definedName>
    <definedName name="젖" localSheetId="0" hidden="1">{#N/A,#N/A,FALSE,"단축1";#N/A,#N/A,FALSE,"단축2";#N/A,#N/A,FALSE,"단축3";#N/A,#N/A,FALSE,"장축";#N/A,#N/A,FALSE,"4WD"}</definedName>
    <definedName name="젖" hidden="1">{#N/A,#N/A,FALSE,"단축1";#N/A,#N/A,FALSE,"단축2";#N/A,#N/A,FALSE,"단축3";#N/A,#N/A,FALSE,"장축";#N/A,#N/A,FALSE,"4WD"}</definedName>
    <definedName name="제동BL" localSheetId="1" hidden="1">{#N/A,#N/A,FALSE,"단축1";#N/A,#N/A,FALSE,"단축2";#N/A,#N/A,FALSE,"단축3";#N/A,#N/A,FALSE,"장축";#N/A,#N/A,FALSE,"4WD"}</definedName>
    <definedName name="제동BL" localSheetId="3" hidden="1">{#N/A,#N/A,FALSE,"단축1";#N/A,#N/A,FALSE,"단축2";#N/A,#N/A,FALSE,"단축3";#N/A,#N/A,FALSE,"장축";#N/A,#N/A,FALSE,"4WD"}</definedName>
    <definedName name="제동BL" localSheetId="0" hidden="1">{#N/A,#N/A,FALSE,"단축1";#N/A,#N/A,FALSE,"단축2";#N/A,#N/A,FALSE,"단축3";#N/A,#N/A,FALSE,"장축";#N/A,#N/A,FALSE,"4WD"}</definedName>
    <definedName name="제동BL" hidden="1">{#N/A,#N/A,FALSE,"단축1";#N/A,#N/A,FALSE,"단축2";#N/A,#N/A,FALSE,"단축3";#N/A,#N/A,FALSE,"장축";#N/A,#N/A,FALSE,"4WD"}</definedName>
    <definedName name="제동BL0219" localSheetId="1" hidden="1">{#N/A,#N/A,FALSE,"단축1";#N/A,#N/A,FALSE,"단축2";#N/A,#N/A,FALSE,"단축3";#N/A,#N/A,FALSE,"장축";#N/A,#N/A,FALSE,"4WD"}</definedName>
    <definedName name="제동BL0219" localSheetId="3" hidden="1">{#N/A,#N/A,FALSE,"단축1";#N/A,#N/A,FALSE,"단축2";#N/A,#N/A,FALSE,"단축3";#N/A,#N/A,FALSE,"장축";#N/A,#N/A,FALSE,"4WD"}</definedName>
    <definedName name="제동BL0219" localSheetId="0" hidden="1">{#N/A,#N/A,FALSE,"단축1";#N/A,#N/A,FALSE,"단축2";#N/A,#N/A,FALSE,"단축3";#N/A,#N/A,FALSE,"장축";#N/A,#N/A,FALSE,"4WD"}</definedName>
    <definedName name="제동BL0219" hidden="1">{#N/A,#N/A,FALSE,"단축1";#N/A,#N/A,FALSE,"단축2";#N/A,#N/A,FALSE,"단축3";#N/A,#N/A,FALSE,"장축";#N/A,#N/A,FALSE,"4WD"}</definedName>
    <definedName name="제동시험현황" localSheetId="1" hidden="1">{#N/A,#N/A,FALSE,"단축1";#N/A,#N/A,FALSE,"단축2";#N/A,#N/A,FALSE,"단축3";#N/A,#N/A,FALSE,"장축";#N/A,#N/A,FALSE,"4WD"}</definedName>
    <definedName name="제동시험현황" localSheetId="3" hidden="1">{#N/A,#N/A,FALSE,"단축1";#N/A,#N/A,FALSE,"단축2";#N/A,#N/A,FALSE,"단축3";#N/A,#N/A,FALSE,"장축";#N/A,#N/A,FALSE,"4WD"}</definedName>
    <definedName name="제동시험현황" localSheetId="0" hidden="1">{#N/A,#N/A,FALSE,"단축1";#N/A,#N/A,FALSE,"단축2";#N/A,#N/A,FALSE,"단축3";#N/A,#N/A,FALSE,"장축";#N/A,#N/A,FALSE,"4WD"}</definedName>
    <definedName name="제동시험현황" hidden="1">{#N/A,#N/A,FALSE,"단축1";#N/A,#N/A,FALSE,"단축2";#N/A,#N/A,FALSE,"단축3";#N/A,#N/A,FALSE,"장축";#N/A,#N/A,FALSE,"4WD"}</definedName>
    <definedName name="제원" localSheetId="3" hidden="1">#REF!</definedName>
    <definedName name="제원" hidden="1">#REF!</definedName>
    <definedName name="젼엋" localSheetId="1" hidden="1">{#N/A,#N/A,FALSE,"단축1";#N/A,#N/A,FALSE,"단축2";#N/A,#N/A,FALSE,"단축3";#N/A,#N/A,FALSE,"장축";#N/A,#N/A,FALSE,"4WD"}</definedName>
    <definedName name="젼엋" localSheetId="3" hidden="1">{#N/A,#N/A,FALSE,"단축1";#N/A,#N/A,FALSE,"단축2";#N/A,#N/A,FALSE,"단축3";#N/A,#N/A,FALSE,"장축";#N/A,#N/A,FALSE,"4WD"}</definedName>
    <definedName name="젼엋" localSheetId="0" hidden="1">{#N/A,#N/A,FALSE,"단축1";#N/A,#N/A,FALSE,"단축2";#N/A,#N/A,FALSE,"단축3";#N/A,#N/A,FALSE,"장축";#N/A,#N/A,FALSE,"4WD"}</definedName>
    <definedName name="젼엋" hidden="1">{#N/A,#N/A,FALSE,"단축1";#N/A,#N/A,FALSE,"단축2";#N/A,#N/A,FALSE,"단축3";#N/A,#N/A,FALSE,"장축";#N/A,#N/A,FALSE,"4WD"}</definedName>
    <definedName name="조립" localSheetId="1" hidden="1">{#N/A,#N/A,FALSE,"단축1";#N/A,#N/A,FALSE,"단축2";#N/A,#N/A,FALSE,"단축3";#N/A,#N/A,FALSE,"장축";#N/A,#N/A,FALSE,"4WD"}</definedName>
    <definedName name="조립" localSheetId="3" hidden="1">{#N/A,#N/A,FALSE,"단축1";#N/A,#N/A,FALSE,"단축2";#N/A,#N/A,FALSE,"단축3";#N/A,#N/A,FALSE,"장축";#N/A,#N/A,FALSE,"4WD"}</definedName>
    <definedName name="조립" localSheetId="0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립공수" localSheetId="1" hidden="1">{#N/A,#N/A,TRUE,"Y생산";#N/A,#N/A,TRUE,"Y판매";#N/A,#N/A,TRUE,"Y총물량";#N/A,#N/A,TRUE,"Y능력";#N/A,#N/A,TRUE,"YKD"}</definedName>
    <definedName name="조립공수" localSheetId="3" hidden="1">{#N/A,#N/A,TRUE,"Y생산";#N/A,#N/A,TRUE,"Y판매";#N/A,#N/A,TRUE,"Y총물량";#N/A,#N/A,TRUE,"Y능력";#N/A,#N/A,TRUE,"YKD"}</definedName>
    <definedName name="조립공수" localSheetId="0" hidden="1">{#N/A,#N/A,TRUE,"Y생산";#N/A,#N/A,TRUE,"Y판매";#N/A,#N/A,TRUE,"Y총물량";#N/A,#N/A,TRUE,"Y능력";#N/A,#N/A,TRUE,"YKD"}</definedName>
    <definedName name="조립공수" hidden="1">{#N/A,#N/A,TRUE,"Y생산";#N/A,#N/A,TRUE,"Y판매";#N/A,#N/A,TRUE,"Y총물량";#N/A,#N/A,TRUE,"Y능력";#N/A,#N/A,TRUE,"YKD"}</definedName>
    <definedName name="조립치구" localSheetId="1" hidden="1">{#N/A,#N/A,FALSE,"단축1";#N/A,#N/A,FALSE,"단축2";#N/A,#N/A,FALSE,"단축3";#N/A,#N/A,FALSE,"장축";#N/A,#N/A,FALSE,"4WD"}</definedName>
    <definedName name="조립치구" localSheetId="3" hidden="1">{#N/A,#N/A,FALSE,"단축1";#N/A,#N/A,FALSE,"단축2";#N/A,#N/A,FALSE,"단축3";#N/A,#N/A,FALSE,"장축";#N/A,#N/A,FALSE,"4WD"}</definedName>
    <definedName name="조립치구" localSheetId="0" hidden="1">{#N/A,#N/A,FALSE,"단축1";#N/A,#N/A,FALSE,"단축2";#N/A,#N/A,FALSE,"단축3";#N/A,#N/A,FALSE,"장축";#N/A,#N/A,FALSE,"4WD"}</definedName>
    <definedName name="조립치구" hidden="1">{#N/A,#N/A,FALSE,"단축1";#N/A,#N/A,FALSE,"단축2";#N/A,#N/A,FALSE,"단축3";#N/A,#N/A,FALSE,"장축";#N/A,#N/A,FALSE,"4WD"}</definedName>
    <definedName name="종합그래프" localSheetId="1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localSheetId="0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장" localSheetId="1" hidden="1">{#N/A,#N/A,FALSE,"단축1";#N/A,#N/A,FALSE,"단축2";#N/A,#N/A,FALSE,"단축3";#N/A,#N/A,FALSE,"장축";#N/A,#N/A,FALSE,"4WD"}</definedName>
    <definedName name="종합장" localSheetId="3" hidden="1">{#N/A,#N/A,FALSE,"단축1";#N/A,#N/A,FALSE,"단축2";#N/A,#N/A,FALSE,"단축3";#N/A,#N/A,FALSE,"장축";#N/A,#N/A,FALSE,"4WD"}</definedName>
    <definedName name="종합장" localSheetId="0" hidden="1">{#N/A,#N/A,FALSE,"단축1";#N/A,#N/A,FALSE,"단축2";#N/A,#N/A,FALSE,"단축3";#N/A,#N/A,FALSE,"장축";#N/A,#N/A,FALSE,"4WD"}</definedName>
    <definedName name="종합장" hidden="1">{#N/A,#N/A,FALSE,"단축1";#N/A,#N/A,FALSE,"단축2";#N/A,#N/A,FALSE,"단축3";#N/A,#N/A,FALSE,"장축";#N/A,#N/A,FALSE,"4WD"}</definedName>
    <definedName name="주요" localSheetId="1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localSheetId="0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1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localSheetId="0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localSheetId="0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1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태면" localSheetId="1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localSheetId="0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집행예산편성1" localSheetId="1" hidden="1">{#N/A,#N/A,FALSE,"단축1";#N/A,#N/A,FALSE,"단축2";#N/A,#N/A,FALSE,"단축3";#N/A,#N/A,FALSE,"장축";#N/A,#N/A,FALSE,"4WD"}</definedName>
    <definedName name="집행예산편성1" localSheetId="3" hidden="1">{#N/A,#N/A,FALSE,"단축1";#N/A,#N/A,FALSE,"단축2";#N/A,#N/A,FALSE,"단축3";#N/A,#N/A,FALSE,"장축";#N/A,#N/A,FALSE,"4WD"}</definedName>
    <definedName name="집행예산편성1" localSheetId="0" hidden="1">{#N/A,#N/A,FALSE,"단축1";#N/A,#N/A,FALSE,"단축2";#N/A,#N/A,FALSE,"단축3";#N/A,#N/A,FALSE,"장축";#N/A,#N/A,FALSE,"4WD"}</definedName>
    <definedName name="집행예산편성1" hidden="1">{#N/A,#N/A,FALSE,"단축1";#N/A,#N/A,FALSE,"단축2";#N/A,#N/A,FALSE,"단축3";#N/A,#N/A,FALSE,"장축";#N/A,#N/A,FALSE,"4WD"}</definedName>
    <definedName name="집행예산편성표" localSheetId="1" hidden="1">{#N/A,#N/A,FALSE,"단축1";#N/A,#N/A,FALSE,"단축2";#N/A,#N/A,FALSE,"단축3";#N/A,#N/A,FALSE,"장축";#N/A,#N/A,FALSE,"4WD"}</definedName>
    <definedName name="집행예산편성표" localSheetId="3" hidden="1">{#N/A,#N/A,FALSE,"단축1";#N/A,#N/A,FALSE,"단축2";#N/A,#N/A,FALSE,"단축3";#N/A,#N/A,FALSE,"장축";#N/A,#N/A,FALSE,"4WD"}</definedName>
    <definedName name="집행예산편성표" localSheetId="0" hidden="1">{#N/A,#N/A,FALSE,"단축1";#N/A,#N/A,FALSE,"단축2";#N/A,#N/A,FALSE,"단축3";#N/A,#N/A,FALSE,"장축";#N/A,#N/A,FALSE,"4WD"}</definedName>
    <definedName name="집행예산편성표" hidden="1">{#N/A,#N/A,FALSE,"단축1";#N/A,#N/A,FALSE,"단축2";#N/A,#N/A,FALSE,"단축3";#N/A,#N/A,FALSE,"장축";#N/A,#N/A,FALSE,"4WD"}</definedName>
    <definedName name="집행예산편성표2" localSheetId="1" hidden="1">{#N/A,#N/A,FALSE,"단축1";#N/A,#N/A,FALSE,"단축2";#N/A,#N/A,FALSE,"단축3";#N/A,#N/A,FALSE,"장축";#N/A,#N/A,FALSE,"4WD"}</definedName>
    <definedName name="집행예산편성표2" localSheetId="3" hidden="1">{#N/A,#N/A,FALSE,"단축1";#N/A,#N/A,FALSE,"단축2";#N/A,#N/A,FALSE,"단축3";#N/A,#N/A,FALSE,"장축";#N/A,#N/A,FALSE,"4WD"}</definedName>
    <definedName name="집행예산편성표2" localSheetId="0" hidden="1">{#N/A,#N/A,FALSE,"단축1";#N/A,#N/A,FALSE,"단축2";#N/A,#N/A,FALSE,"단축3";#N/A,#N/A,FALSE,"장축";#N/A,#N/A,FALSE,"4WD"}</definedName>
    <definedName name="집행예산편성표2" hidden="1">{#N/A,#N/A,FALSE,"단축1";#N/A,#N/A,FALSE,"단축2";#N/A,#N/A,FALSE,"단축3";#N/A,#N/A,FALSE,"장축";#N/A,#N/A,FALSE,"4WD"}</definedName>
    <definedName name="ㅉ" localSheetId="1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localSheetId="0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" localSheetId="1" hidden="1">{#N/A,#N/A,FALSE,"단축1";#N/A,#N/A,FALSE,"단축2";#N/A,#N/A,FALSE,"단축3";#N/A,#N/A,FALSE,"장축";#N/A,#N/A,FALSE,"4WD"}</definedName>
    <definedName name="ㅊ" localSheetId="3" hidden="1">{#N/A,#N/A,FALSE,"단축1";#N/A,#N/A,FALSE,"단축2";#N/A,#N/A,FALSE,"단축3";#N/A,#N/A,FALSE,"장축";#N/A,#N/A,FALSE,"4WD"}</definedName>
    <definedName name="ㅊ" localSheetId="0" hidden="1">{#N/A,#N/A,FALSE,"단축1";#N/A,#N/A,FALSE,"단축2";#N/A,#N/A,FALSE,"단축3";#N/A,#N/A,FALSE,"장축";#N/A,#N/A,FALSE,"4WD"}</definedName>
    <definedName name="ㅊ" hidden="1">{#N/A,#N/A,FALSE,"단축1";#N/A,#N/A,FALSE,"단축2";#N/A,#N/A,FALSE,"단축3";#N/A,#N/A,FALSE,"장축";#N/A,#N/A,FALSE,"4WD"}</definedName>
    <definedName name="ㅊㅁ" localSheetId="1" hidden="1">{#N/A,#N/A,FALSE,"단축1";#N/A,#N/A,FALSE,"단축2";#N/A,#N/A,FALSE,"단축3";#N/A,#N/A,FALSE,"장축";#N/A,#N/A,FALSE,"4WD"}</definedName>
    <definedName name="ㅊㅁ" localSheetId="3" hidden="1">{#N/A,#N/A,FALSE,"단축1";#N/A,#N/A,FALSE,"단축2";#N/A,#N/A,FALSE,"단축3";#N/A,#N/A,FALSE,"장축";#N/A,#N/A,FALSE,"4WD"}</definedName>
    <definedName name="ㅊㅁ" localSheetId="0" hidden="1">{#N/A,#N/A,FALSE,"단축1";#N/A,#N/A,FALSE,"단축2";#N/A,#N/A,FALSE,"단축3";#N/A,#N/A,FALSE,"장축";#N/A,#N/A,FALSE,"4WD"}</definedName>
    <definedName name="ㅊㅁ" hidden="1">{#N/A,#N/A,FALSE,"단축1";#N/A,#N/A,FALSE,"단축2";#N/A,#N/A,FALSE,"단축3";#N/A,#N/A,FALSE,"장축";#N/A,#N/A,FALSE,"4WD"}</definedName>
    <definedName name="첨부둘" localSheetId="1" hidden="1">{#N/A,#N/A,FALSE,"단축1";#N/A,#N/A,FALSE,"단축2";#N/A,#N/A,FALSE,"단축3";#N/A,#N/A,FALSE,"장축";#N/A,#N/A,FALSE,"4WD"}</definedName>
    <definedName name="첨부둘" localSheetId="3" hidden="1">{#N/A,#N/A,FALSE,"단축1";#N/A,#N/A,FALSE,"단축2";#N/A,#N/A,FALSE,"단축3";#N/A,#N/A,FALSE,"장축";#N/A,#N/A,FALSE,"4WD"}</definedName>
    <definedName name="첨부둘" localSheetId="0" hidden="1">{#N/A,#N/A,FALSE,"단축1";#N/A,#N/A,FALSE,"단축2";#N/A,#N/A,FALSE,"단축3";#N/A,#N/A,FALSE,"장축";#N/A,#N/A,FALSE,"4WD"}</definedName>
    <definedName name="첨부둘" hidden="1">{#N/A,#N/A,FALSE,"단축1";#N/A,#N/A,FALSE,"단축2";#N/A,#N/A,FALSE,"단축3";#N/A,#N/A,FALSE,"장축";#N/A,#N/A,FALSE,"4WD"}</definedName>
    <definedName name="총" localSheetId="1" hidden="1">{#N/A,#N/A,FALSE,"단축1";#N/A,#N/A,FALSE,"단축2";#N/A,#N/A,FALSE,"단축3";#N/A,#N/A,FALSE,"장축";#N/A,#N/A,FALSE,"4WD"}</definedName>
    <definedName name="총" localSheetId="3" hidden="1">{#N/A,#N/A,FALSE,"단축1";#N/A,#N/A,FALSE,"단축2";#N/A,#N/A,FALSE,"단축3";#N/A,#N/A,FALSE,"장축";#N/A,#N/A,FALSE,"4WD"}</definedName>
    <definedName name="총" localSheetId="0" hidden="1">{#N/A,#N/A,FALSE,"단축1";#N/A,#N/A,FALSE,"단축2";#N/A,#N/A,FALSE,"단축3";#N/A,#N/A,FALSE,"장축";#N/A,#N/A,FALSE,"4WD"}</definedName>
    <definedName name="총" hidden="1">{#N/A,#N/A,FALSE,"단축1";#N/A,#N/A,FALSE,"단축2";#N/A,#N/A,FALSE,"단축3";#N/A,#N/A,FALSE,"장축";#N/A,#N/A,FALSE,"4WD"}</definedName>
    <definedName name="총괄MOTOR" localSheetId="3" hidden="1">#REF!</definedName>
    <definedName name="총괄MOTOR" hidden="1">#REF!</definedName>
    <definedName name="총기" localSheetId="1" hidden="1">{#N/A,#N/A,FALSE,"단축1";#N/A,#N/A,FALSE,"단축2";#N/A,#N/A,FALSE,"단축3";#N/A,#N/A,FALSE,"장축";#N/A,#N/A,FALSE,"4WD"}</definedName>
    <definedName name="총기" localSheetId="3" hidden="1">{#N/A,#N/A,FALSE,"단축1";#N/A,#N/A,FALSE,"단축2";#N/A,#N/A,FALSE,"단축3";#N/A,#N/A,FALSE,"장축";#N/A,#N/A,FALSE,"4WD"}</definedName>
    <definedName name="총기" localSheetId="0" hidden="1">{#N/A,#N/A,FALSE,"단축1";#N/A,#N/A,FALSE,"단축2";#N/A,#N/A,FALSE,"단축3";#N/A,#N/A,FALSE,"장축";#N/A,#N/A,FALSE,"4WD"}</definedName>
    <definedName name="총기" hidden="1">{#N/A,#N/A,FALSE,"단축1";#N/A,#N/A,FALSE,"단축2";#N/A,#N/A,FALSE,"단축3";#N/A,#N/A,FALSE,"장축";#N/A,#N/A,FALSE,"4WD"}</definedName>
    <definedName name="총무3" localSheetId="1" hidden="1">{#N/A,#N/A,FALSE,"단축1";#N/A,#N/A,FALSE,"단축2";#N/A,#N/A,FALSE,"단축3";#N/A,#N/A,FALSE,"장축";#N/A,#N/A,FALSE,"4WD"}</definedName>
    <definedName name="총무3" localSheetId="3" hidden="1">{#N/A,#N/A,FALSE,"단축1";#N/A,#N/A,FALSE,"단축2";#N/A,#N/A,FALSE,"단축3";#N/A,#N/A,FALSE,"장축";#N/A,#N/A,FALSE,"4WD"}</definedName>
    <definedName name="총무3" localSheetId="0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총총내구" localSheetId="1" hidden="1">{#N/A,#N/A,FALSE,"단축1";#N/A,#N/A,FALSE,"단축2";#N/A,#N/A,FALSE,"단축3";#N/A,#N/A,FALSE,"장축";#N/A,#N/A,FALSE,"4WD"}</definedName>
    <definedName name="총총내구" localSheetId="3" hidden="1">{#N/A,#N/A,FALSE,"단축1";#N/A,#N/A,FALSE,"단축2";#N/A,#N/A,FALSE,"단축3";#N/A,#N/A,FALSE,"장축";#N/A,#N/A,FALSE,"4WD"}</definedName>
    <definedName name="총총내구" localSheetId="0" hidden="1">{#N/A,#N/A,FALSE,"단축1";#N/A,#N/A,FALSE,"단축2";#N/A,#N/A,FALSE,"단축3";#N/A,#N/A,FALSE,"장축";#N/A,#N/A,FALSE,"4WD"}</definedName>
    <definedName name="총총내구" hidden="1">{#N/A,#N/A,FALSE,"단축1";#N/A,#N/A,FALSE,"단축2";#N/A,#N/A,FALSE,"단축3";#N/A,#N/A,FALSE,"장축";#N/A,#N/A,FALSE,"4WD"}</definedName>
    <definedName name="총함애" localSheetId="1" hidden="1">{#N/A,#N/A,FALSE,"단축1";#N/A,#N/A,FALSE,"단축2";#N/A,#N/A,FALSE,"단축3";#N/A,#N/A,FALSE,"장축";#N/A,#N/A,FALSE,"4WD"}</definedName>
    <definedName name="총함애" localSheetId="3" hidden="1">{#N/A,#N/A,FALSE,"단축1";#N/A,#N/A,FALSE,"단축2";#N/A,#N/A,FALSE,"단축3";#N/A,#N/A,FALSE,"장축";#N/A,#N/A,FALSE,"4WD"}</definedName>
    <definedName name="총함애" localSheetId="0" hidden="1">{#N/A,#N/A,FALSE,"단축1";#N/A,#N/A,FALSE,"단축2";#N/A,#N/A,FALSE,"단축3";#N/A,#N/A,FALSE,"장축";#N/A,#N/A,FALSE,"4WD"}</definedName>
    <definedName name="총함애" hidden="1">{#N/A,#N/A,FALSE,"단축1";#N/A,#N/A,FALSE,"단축2";#N/A,#N/A,FALSE,"단축3";#N/A,#N/A,FALSE,"장축";#N/A,#N/A,FALSE,"4WD"}</definedName>
    <definedName name="총합내구2" localSheetId="1" hidden="1">{#N/A,#N/A,FALSE,"단축1";#N/A,#N/A,FALSE,"단축2";#N/A,#N/A,FALSE,"단축3";#N/A,#N/A,FALSE,"장축";#N/A,#N/A,FALSE,"4WD"}</definedName>
    <definedName name="총합내구2" localSheetId="3" hidden="1">{#N/A,#N/A,FALSE,"단축1";#N/A,#N/A,FALSE,"단축2";#N/A,#N/A,FALSE,"단축3";#N/A,#N/A,FALSE,"장축";#N/A,#N/A,FALSE,"4WD"}</definedName>
    <definedName name="총합내구2" localSheetId="0" hidden="1">{#N/A,#N/A,FALSE,"단축1";#N/A,#N/A,FALSE,"단축2";#N/A,#N/A,FALSE,"단축3";#N/A,#N/A,FALSE,"장축";#N/A,#N/A,FALSE,"4WD"}</definedName>
    <definedName name="총합내구2" hidden="1">{#N/A,#N/A,FALSE,"단축1";#N/A,#N/A,FALSE,"단축2";#N/A,#N/A,FALSE,"단축3";#N/A,#N/A,FALSE,"장축";#N/A,#N/A,FALSE,"4WD"}</definedName>
    <definedName name="총합내구3" localSheetId="1" hidden="1">{#N/A,#N/A,FALSE,"단축1";#N/A,#N/A,FALSE,"단축2";#N/A,#N/A,FALSE,"단축3";#N/A,#N/A,FALSE,"장축";#N/A,#N/A,FALSE,"4WD"}</definedName>
    <definedName name="총합내구3" localSheetId="3" hidden="1">{#N/A,#N/A,FALSE,"단축1";#N/A,#N/A,FALSE,"단축2";#N/A,#N/A,FALSE,"단축3";#N/A,#N/A,FALSE,"장축";#N/A,#N/A,FALSE,"4WD"}</definedName>
    <definedName name="총합내구3" localSheetId="0" hidden="1">{#N/A,#N/A,FALSE,"단축1";#N/A,#N/A,FALSE,"단축2";#N/A,#N/A,FALSE,"단축3";#N/A,#N/A,FALSE,"장축";#N/A,#N/A,FALSE,"4WD"}</definedName>
    <definedName name="총합내구3" hidden="1">{#N/A,#N/A,FALSE,"단축1";#N/A,#N/A,FALSE,"단축2";#N/A,#N/A,FALSE,"단축3";#N/A,#N/A,FALSE,"장축";#N/A,#N/A,FALSE,"4WD"}</definedName>
    <definedName name="총합문제점" localSheetId="1" hidden="1">{#N/A,#N/A,FALSE,"단축1";#N/A,#N/A,FALSE,"단축2";#N/A,#N/A,FALSE,"단축3";#N/A,#N/A,FALSE,"장축";#N/A,#N/A,FALSE,"4WD"}</definedName>
    <definedName name="총합문제점" localSheetId="3" hidden="1">{#N/A,#N/A,FALSE,"단축1";#N/A,#N/A,FALSE,"단축2";#N/A,#N/A,FALSE,"단축3";#N/A,#N/A,FALSE,"장축";#N/A,#N/A,FALSE,"4WD"}</definedName>
    <definedName name="총합문제점" localSheetId="0" hidden="1">{#N/A,#N/A,FALSE,"단축1";#N/A,#N/A,FALSE,"단축2";#N/A,#N/A,FALSE,"단축3";#N/A,#N/A,FALSE,"장축";#N/A,#N/A,FALSE,"4WD"}</definedName>
    <definedName name="총합문제점" hidden="1">{#N/A,#N/A,FALSE,"단축1";#N/A,#N/A,FALSE,"단축2";#N/A,#N/A,FALSE,"단축3";#N/A,#N/A,FALSE,"장축";#N/A,#N/A,FALSE,"4WD"}</definedName>
    <definedName name="추" localSheetId="1" hidden="1">{#N/A,#N/A,FALSE,"단축1";#N/A,#N/A,FALSE,"단축2";#N/A,#N/A,FALSE,"단축3";#N/A,#N/A,FALSE,"장축";#N/A,#N/A,FALSE,"4WD"}</definedName>
    <definedName name="추" localSheetId="3" hidden="1">{#N/A,#N/A,FALSE,"단축1";#N/A,#N/A,FALSE,"단축2";#N/A,#N/A,FALSE,"단축3";#N/A,#N/A,FALSE,"장축";#N/A,#N/A,FALSE,"4WD"}</definedName>
    <definedName name="추" localSheetId="0" hidden="1">{#N/A,#N/A,FALSE,"단축1";#N/A,#N/A,FALSE,"단축2";#N/A,#N/A,FALSE,"단축3";#N/A,#N/A,FALSE,"장축";#N/A,#N/A,FALSE,"4WD"}</definedName>
    <definedName name="추" hidden="1">{#N/A,#N/A,FALSE,"단축1";#N/A,#N/A,FALSE,"단축2";#N/A,#N/A,FALSE,"단축3";#N/A,#N/A,FALSE,"장축";#N/A,#N/A,FALSE,"4WD"}</definedName>
    <definedName name="추진과제" localSheetId="1" hidden="1">{#N/A,#N/A,FALSE,"단축1";#N/A,#N/A,FALSE,"단축2";#N/A,#N/A,FALSE,"단축3";#N/A,#N/A,FALSE,"장축";#N/A,#N/A,FALSE,"4WD"}</definedName>
    <definedName name="추진과제" localSheetId="3" hidden="1">{#N/A,#N/A,FALSE,"단축1";#N/A,#N/A,FALSE,"단축2";#N/A,#N/A,FALSE,"단축3";#N/A,#N/A,FALSE,"장축";#N/A,#N/A,FALSE,"4WD"}</definedName>
    <definedName name="추진과제" localSheetId="0" hidden="1">{#N/A,#N/A,FALSE,"단축1";#N/A,#N/A,FALSE,"단축2";#N/A,#N/A,FALSE,"단축3";#N/A,#N/A,FALSE,"장축";#N/A,#N/A,FALSE,"4WD"}</definedName>
    <definedName name="추진과제" hidden="1">{#N/A,#N/A,FALSE,"단축1";#N/A,#N/A,FALSE,"단축2";#N/A,#N/A,FALSE,"단축3";#N/A,#N/A,FALSE,"장축";#N/A,#N/A,FALSE,"4WD"}</definedName>
    <definedName name="취소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취소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취소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취소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ㅋㅋㅋㅋ" localSheetId="1" hidden="1">{"AQUIRORDCF",#N/A,FALSE,"Merger consequences";"Acquirorassns",#N/A,FALSE,"Merger consequences"}</definedName>
    <definedName name="ㅋㅋㅋㅋ" localSheetId="3" hidden="1">{"AQUIRORDCF",#N/A,FALSE,"Merger consequences";"Acquirorassns",#N/A,FALSE,"Merger consequences"}</definedName>
    <definedName name="ㅋㅋㅋㅋ" localSheetId="0" hidden="1">{"AQUIRORDCF",#N/A,FALSE,"Merger consequences";"Acquirorassns",#N/A,FALSE,"Merger consequences"}</definedName>
    <definedName name="ㅋㅋㅋㅋ" hidden="1">{"AQUIRORDCF",#N/A,FALSE,"Merger consequences";"Acquirorassns",#N/A,FALSE,"Merger consequences"}</definedName>
    <definedName name="ㅋㅌ" localSheetId="1" hidden="1">{#N/A,#N/A,FALSE,"단축1";#N/A,#N/A,FALSE,"단축2";#N/A,#N/A,FALSE,"단축3";#N/A,#N/A,FALSE,"장축";#N/A,#N/A,FALSE,"4WD"}</definedName>
    <definedName name="ㅋㅌ" localSheetId="3" hidden="1">{#N/A,#N/A,FALSE,"단축1";#N/A,#N/A,FALSE,"단축2";#N/A,#N/A,FALSE,"단축3";#N/A,#N/A,FALSE,"장축";#N/A,#N/A,FALSE,"4WD"}</definedName>
    <definedName name="ㅋㅌ" localSheetId="0" hidden="1">{#N/A,#N/A,FALSE,"단축1";#N/A,#N/A,FALSE,"단축2";#N/A,#N/A,FALSE,"단축3";#N/A,#N/A,FALSE,"장축";#N/A,#N/A,FALSE,"4WD"}</definedName>
    <definedName name="ㅋㅌ" hidden="1">{#N/A,#N/A,FALSE,"단축1";#N/A,#N/A,FALSE,"단축2";#N/A,#N/A,FALSE,"단축3";#N/A,#N/A,FALSE,"장축";#N/A,#N/A,FALSE,"4WD"}</definedName>
    <definedName name="ㅋㅌㅋㅌㅊㅌㅊㅋ" localSheetId="1" hidden="1">{"qchm_dcf",#N/A,FALSE,"QCHMDCF2";"qchm_terminal",#N/A,FALSE,"QCHMDCF2"}</definedName>
    <definedName name="ㅋㅌㅋㅌㅊㅌㅊㅋ" localSheetId="3" hidden="1">{"qchm_dcf",#N/A,FALSE,"QCHMDCF2";"qchm_terminal",#N/A,FALSE,"QCHMDCF2"}</definedName>
    <definedName name="ㅋㅌㅋㅌㅊㅌㅊㅋ" localSheetId="0" hidden="1">{"qchm_dcf",#N/A,FALSE,"QCHMDCF2";"qchm_terminal",#N/A,FALSE,"QCHMDCF2"}</definedName>
    <definedName name="ㅋㅌㅋㅌㅊㅌㅊㅋ" hidden="1">{"qchm_dcf",#N/A,FALSE,"QCHMDCF2";"qchm_terminal",#N/A,FALSE,"QCHMDCF2"}</definedName>
    <definedName name="ㅋㅌㅌㅌㅌㅌㅌㅌㅌㅌㅌㅌㅌㅌㅌㅌ" localSheetId="1" hidden="1">{"Acq_matrix",#N/A,FALSE,"Acquisition Matrix"}</definedName>
    <definedName name="ㅋㅌㅌㅌㅌㅌㅌㅌㅌㅌㅌㅌㅌㅌㅌㅌ" localSheetId="3" hidden="1">{"Acq_matrix",#N/A,FALSE,"Acquisition Matrix"}</definedName>
    <definedName name="ㅋㅌㅌㅌㅌㅌㅌㅌㅌㅌㅌㅌㅌㅌㅌㅌ" localSheetId="0" hidden="1">{"Acq_matrix",#N/A,FALSE,"Acquisition Matrix"}</definedName>
    <definedName name="ㅋㅌㅌㅌㅌㅌㅌㅌㅌㅌㅌㅌㅌㅌㅌㅌ" hidden="1">{"Acq_matrix",#N/A,FALSE,"Acquisition Matrix"}</definedName>
    <definedName name="카니발연료누유" localSheetId="1" hidden="1">[5]CAUDIT!#REF!</definedName>
    <definedName name="카니발연료누유" hidden="1">[5]CAUDIT!#REF!</definedName>
    <definedName name="ㅌㅋㅌ" localSheetId="1" hidden="1">{"AQUIRORDCF",#N/A,FALSE,"Merger consequences";"Acquirorassns",#N/A,FALSE,"Merger consequences"}</definedName>
    <definedName name="ㅌㅋㅌ" localSheetId="3" hidden="1">{"AQUIRORDCF",#N/A,FALSE,"Merger consequences";"Acquirorassns",#N/A,FALSE,"Merger consequences"}</definedName>
    <definedName name="ㅌㅋㅌ" localSheetId="0" hidden="1">{"AQUIRORDCF",#N/A,FALSE,"Merger consequences";"Acquirorassns",#N/A,FALSE,"Merger consequences"}</definedName>
    <definedName name="ㅌㅋㅌ" hidden="1">{"AQUIRORDCF",#N/A,FALSE,"Merger consequences";"Acquirorassns",#N/A,FALSE,"Merger consequences"}</definedName>
    <definedName name="ㅌㅌㅌㅌ" localSheetId="1" hidden="1">{"qchm_dcf",#N/A,FALSE,"QCHMDCF2";"qchm_terminal",#N/A,FALSE,"QCHMDCF2"}</definedName>
    <definedName name="ㅌㅌㅌㅌ" localSheetId="3" hidden="1">{"qchm_dcf",#N/A,FALSE,"QCHMDCF2";"qchm_terminal",#N/A,FALSE,"QCHMDCF2"}</definedName>
    <definedName name="ㅌㅌㅌㅌ" localSheetId="0" hidden="1">{"qchm_dcf",#N/A,FALSE,"QCHMDCF2";"qchm_terminal",#N/A,FALSE,"QCHMDCF2"}</definedName>
    <definedName name="ㅌㅌㅌㅌ" hidden="1">{"qchm_dcf",#N/A,FALSE,"QCHMDCF2";"qchm_terminal",#N/A,FALSE,"QCHMDCF2"}</definedName>
    <definedName name="ㅌㅌㅌㅌㅌㅌ" localSheetId="1" hidden="1">{"targetdcf",#N/A,FALSE,"Merger consequences";"TARGETASSU",#N/A,FALSE,"Merger consequences";"TERMINAL VALUE",#N/A,FALSE,"Merger consequences"}</definedName>
    <definedName name="ㅌㅌㅌㅌㅌㅌ" localSheetId="3" hidden="1">{"targetdcf",#N/A,FALSE,"Merger consequences";"TARGETASSU",#N/A,FALSE,"Merger consequences";"TERMINAL VALUE",#N/A,FALSE,"Merger consequences"}</definedName>
    <definedName name="ㅌㅌㅌㅌㅌㅌ" localSheetId="0" hidden="1">{"targetdcf",#N/A,FALSE,"Merger consequences";"TARGETASSU",#N/A,FALSE,"Merger consequences";"TERMINAL VALUE",#N/A,FALSE,"Merger consequences"}</definedName>
    <definedName name="ㅌㅌㅌㅌㅌㅌ" hidden="1">{"targetdcf",#N/A,FALSE,"Merger consequences";"TARGETASSU",#N/A,FALSE,"Merger consequences";"TERMINAL VALUE",#N/A,FALSE,"Merger consequences"}</definedName>
    <definedName name="탕강" localSheetId="1" hidden="1">{#N/A,#N/A,FALSE,"단축1";#N/A,#N/A,FALSE,"단축2";#N/A,#N/A,FALSE,"단축3";#N/A,#N/A,FALSE,"장축";#N/A,#N/A,FALSE,"4WD"}</definedName>
    <definedName name="탕강" localSheetId="3" hidden="1">{#N/A,#N/A,FALSE,"단축1";#N/A,#N/A,FALSE,"단축2";#N/A,#N/A,FALSE,"단축3";#N/A,#N/A,FALSE,"장축";#N/A,#N/A,FALSE,"4WD"}</definedName>
    <definedName name="탕강" localSheetId="0" hidden="1">{#N/A,#N/A,FALSE,"단축1";#N/A,#N/A,FALSE,"단축2";#N/A,#N/A,FALSE,"단축3";#N/A,#N/A,FALSE,"장축";#N/A,#N/A,FALSE,"4WD"}</definedName>
    <definedName name="탕강" hidden="1">{#N/A,#N/A,FALSE,"단축1";#N/A,#N/A,FALSE,"단축2";#N/A,#N/A,FALSE,"단축3";#N/A,#N/A,FALSE,"장축";#N/A,#N/A,FALSE,"4WD"}</definedName>
    <definedName name="테스트" localSheetId="1" hidden="1">{#N/A,#N/A,FALSE,"현대기술상추천서(2-1)";#N/A,#N/A,FALSE,"2-2";#N/A,#N/A,FALSE,"2-3";#N/A,#N/A,FALSE,"서식2-4";#N/A,#N/A,FALSE,"(2-5)";#N/A,#N/A,FALSE,"(2-6)";#N/A,#N/A,FALSE,"(2-7)"}</definedName>
    <definedName name="테스트" localSheetId="3" hidden="1">{#N/A,#N/A,FALSE,"현대기술상추천서(2-1)";#N/A,#N/A,FALSE,"2-2";#N/A,#N/A,FALSE,"2-3";#N/A,#N/A,FALSE,"서식2-4";#N/A,#N/A,FALSE,"(2-5)";#N/A,#N/A,FALSE,"(2-6)";#N/A,#N/A,FALSE,"(2-7)"}</definedName>
    <definedName name="테스트" localSheetId="0" hidden="1">{#N/A,#N/A,FALSE,"현대기술상추천서(2-1)";#N/A,#N/A,FALSE,"2-2";#N/A,#N/A,FALSE,"2-3";#N/A,#N/A,FALSE,"서식2-4";#N/A,#N/A,FALSE,"(2-5)";#N/A,#N/A,FALSE,"(2-6)";#N/A,#N/A,FALSE,"(2-7)"}</definedName>
    <definedName name="테스트" hidden="1">{#N/A,#N/A,FALSE,"현대기술상추천서(2-1)";#N/A,#N/A,FALSE,"2-2";#N/A,#N/A,FALSE,"2-3";#N/A,#N/A,FALSE,"서식2-4";#N/A,#N/A,FALSE,"(2-5)";#N/A,#N/A,FALSE,"(2-6)";#N/A,#N/A,FALSE,"(2-7)"}</definedName>
    <definedName name="통보용" localSheetId="1" hidden="1">{#N/A,#N/A,FALSE,"총괄수정"}</definedName>
    <definedName name="통보용" localSheetId="3" hidden="1">{#N/A,#N/A,FALSE,"총괄수정"}</definedName>
    <definedName name="통보용" localSheetId="0" hidden="1">{#N/A,#N/A,FALSE,"총괄수정"}</definedName>
    <definedName name="통보용" hidden="1">{#N/A,#N/A,FALSE,"총괄수정"}</definedName>
    <definedName name="통보현황" localSheetId="1" hidden="1">{#N/A,#N/A,FALSE,"총괄수정"}</definedName>
    <definedName name="통보현황" localSheetId="3" hidden="1">{#N/A,#N/A,FALSE,"총괄수정"}</definedName>
    <definedName name="통보현황" localSheetId="0" hidden="1">{#N/A,#N/A,FALSE,"총괄수정"}</definedName>
    <definedName name="통보현황" hidden="1">{#N/A,#N/A,FALSE,"총괄수정"}</definedName>
    <definedName name="통합제어" localSheetId="1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통합제어" localSheetId="3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통합제어" localSheetId="0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통합제어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투자" localSheetId="1" hidden="1">#REF!</definedName>
    <definedName name="투자" localSheetId="3" hidden="1">#REF!</definedName>
    <definedName name="투자" hidden="1">#REF!</definedName>
    <definedName name="투자금액1" localSheetId="1" hidden="1">{#N/A,#N/A,FALSE,"단축1";#N/A,#N/A,FALSE,"단축2";#N/A,#N/A,FALSE,"단축3";#N/A,#N/A,FALSE,"장축";#N/A,#N/A,FALSE,"4WD"}</definedName>
    <definedName name="투자금액1" localSheetId="3" hidden="1">{#N/A,#N/A,FALSE,"단축1";#N/A,#N/A,FALSE,"단축2";#N/A,#N/A,FALSE,"단축3";#N/A,#N/A,FALSE,"장축";#N/A,#N/A,FALSE,"4WD"}</definedName>
    <definedName name="투자금액1" localSheetId="0" hidden="1">{#N/A,#N/A,FALSE,"단축1";#N/A,#N/A,FALSE,"단축2";#N/A,#N/A,FALSE,"단축3";#N/A,#N/A,FALSE,"장축";#N/A,#N/A,FALSE,"4WD"}</definedName>
    <definedName name="투자금액1" hidden="1">{#N/A,#N/A,FALSE,"단축1";#N/A,#N/A,FALSE,"단축2";#N/A,#N/A,FALSE,"단축3";#N/A,#N/A,FALSE,"장축";#N/A,#N/A,FALSE,"4WD"}</definedName>
    <definedName name="투자비000" localSheetId="1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localSheetId="1" hidden="1">{#N/A,#N/A,FALSE,"단축1";#N/A,#N/A,FALSE,"단축2";#N/A,#N/A,FALSE,"단축3";#N/A,#N/A,FALSE,"장축";#N/A,#N/A,FALSE,"4WD"}</definedName>
    <definedName name="투자비복" localSheetId="3" hidden="1">{#N/A,#N/A,FALSE,"단축1";#N/A,#N/A,FALSE,"단축2";#N/A,#N/A,FALSE,"단축3";#N/A,#N/A,FALSE,"장축";#N/A,#N/A,FALSE,"4WD"}</definedName>
    <definedName name="투자비복" localSheetId="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실적" localSheetId="1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localSheetId="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항" localSheetId="1" hidden="1">{#N/A,#N/A,FALSE,"총괄수정"}</definedName>
    <definedName name="투자사항" localSheetId="3" hidden="1">{#N/A,#N/A,FALSE,"총괄수정"}</definedName>
    <definedName name="투자사항" localSheetId="0" hidden="1">{#N/A,#N/A,FALSE,"총괄수정"}</definedName>
    <definedName name="투자사항" hidden="1">{#N/A,#N/A,FALSE,"총괄수정"}</definedName>
    <definedName name="튜닝" localSheetId="1" hidden="1">{#N/A,#N/A,FALSE,"단축1";#N/A,#N/A,FALSE,"단축2";#N/A,#N/A,FALSE,"단축3";#N/A,#N/A,FALSE,"장축";#N/A,#N/A,FALSE,"4WD"}</definedName>
    <definedName name="튜닝" localSheetId="3" hidden="1">{#N/A,#N/A,FALSE,"단축1";#N/A,#N/A,FALSE,"단축2";#N/A,#N/A,FALSE,"단축3";#N/A,#N/A,FALSE,"장축";#N/A,#N/A,FALSE,"4WD"}</definedName>
    <definedName name="튜닝" localSheetId="0" hidden="1">{#N/A,#N/A,FALSE,"단축1";#N/A,#N/A,FALSE,"단축2";#N/A,#N/A,FALSE,"단축3";#N/A,#N/A,FALSE,"장축";#N/A,#N/A,FALSE,"4WD"}</definedName>
    <definedName name="튜닝" hidden="1">{#N/A,#N/A,FALSE,"단축1";#N/A,#N/A,FALSE,"단축2";#N/A,#N/A,FALSE,"단축3";#N/A,#N/A,FALSE,"장축";#N/A,#N/A,FALSE,"4WD"}</definedName>
    <definedName name="튜닝리스트" localSheetId="1" hidden="1">{#N/A,#N/A,FALSE,"단축1";#N/A,#N/A,FALSE,"단축2";#N/A,#N/A,FALSE,"단축3";#N/A,#N/A,FALSE,"장축";#N/A,#N/A,FALSE,"4WD"}</definedName>
    <definedName name="튜닝리스트" localSheetId="3" hidden="1">{#N/A,#N/A,FALSE,"단축1";#N/A,#N/A,FALSE,"단축2";#N/A,#N/A,FALSE,"단축3";#N/A,#N/A,FALSE,"장축";#N/A,#N/A,FALSE,"4WD"}</definedName>
    <definedName name="튜닝리스트" localSheetId="0" hidden="1">{#N/A,#N/A,FALSE,"단축1";#N/A,#N/A,FALSE,"단축2";#N/A,#N/A,FALSE,"단축3";#N/A,#N/A,FALSE,"장축";#N/A,#N/A,FALSE,"4WD"}</definedName>
    <definedName name="튜닝리스트" hidden="1">{#N/A,#N/A,FALSE,"단축1";#N/A,#N/A,FALSE,"단축2";#N/A,#N/A,FALSE,"단축3";#N/A,#N/A,FALSE,"장축";#N/A,#N/A,FALSE,"4WD"}</definedName>
    <definedName name="튜닝리스트1" localSheetId="1" hidden="1">{#N/A,#N/A,FALSE,"단축1";#N/A,#N/A,FALSE,"단축2";#N/A,#N/A,FALSE,"단축3";#N/A,#N/A,FALSE,"장축";#N/A,#N/A,FALSE,"4WD"}</definedName>
    <definedName name="튜닝리스트1" localSheetId="3" hidden="1">{#N/A,#N/A,FALSE,"단축1";#N/A,#N/A,FALSE,"단축2";#N/A,#N/A,FALSE,"단축3";#N/A,#N/A,FALSE,"장축";#N/A,#N/A,FALSE,"4WD"}</definedName>
    <definedName name="튜닝리스트1" localSheetId="0" hidden="1">{#N/A,#N/A,FALSE,"단축1";#N/A,#N/A,FALSE,"단축2";#N/A,#N/A,FALSE,"단축3";#N/A,#N/A,FALSE,"장축";#N/A,#N/A,FALSE,"4WD"}</definedName>
    <definedName name="튜닝리스트1" hidden="1">{#N/A,#N/A,FALSE,"단축1";#N/A,#N/A,FALSE,"단축2";#N/A,#N/A,FALSE,"단축3";#N/A,#N/A,FALSE,"장축";#N/A,#N/A,FALSE,"4WD"}</definedName>
    <definedName name="튜닝리스트2" localSheetId="1" hidden="1">{#N/A,#N/A,FALSE,"단축1";#N/A,#N/A,FALSE,"단축2";#N/A,#N/A,FALSE,"단축3";#N/A,#N/A,FALSE,"장축";#N/A,#N/A,FALSE,"4WD"}</definedName>
    <definedName name="튜닝리스트2" localSheetId="3" hidden="1">{#N/A,#N/A,FALSE,"단축1";#N/A,#N/A,FALSE,"단축2";#N/A,#N/A,FALSE,"단축3";#N/A,#N/A,FALSE,"장축";#N/A,#N/A,FALSE,"4WD"}</definedName>
    <definedName name="튜닝리스트2" localSheetId="0" hidden="1">{#N/A,#N/A,FALSE,"단축1";#N/A,#N/A,FALSE,"단축2";#N/A,#N/A,FALSE,"단축3";#N/A,#N/A,FALSE,"장축";#N/A,#N/A,FALSE,"4WD"}</definedName>
    <definedName name="튜닝리스트2" hidden="1">{#N/A,#N/A,FALSE,"단축1";#N/A,#N/A,FALSE,"단축2";#N/A,#N/A,FALSE,"단축3";#N/A,#N/A,FALSE,"장축";#N/A,#N/A,FALSE,"4WD"}</definedName>
    <definedName name="ㅍ" localSheetId="1" hidden="1">{#N/A,#N/A,FALSE,"단축1";#N/A,#N/A,FALSE,"단축2";#N/A,#N/A,FALSE,"단축3";#N/A,#N/A,FALSE,"장축";#N/A,#N/A,FALSE,"4WD"}</definedName>
    <definedName name="ㅍ" localSheetId="3" hidden="1">{#N/A,#N/A,FALSE,"단축1";#N/A,#N/A,FALSE,"단축2";#N/A,#N/A,FALSE,"단축3";#N/A,#N/A,FALSE,"장축";#N/A,#N/A,FALSE,"4WD"}</definedName>
    <definedName name="ㅍ" localSheetId="0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ㅍㅍ" localSheetId="1" hidden="1">{#N/A,#N/A,FALSE,"단축1";#N/A,#N/A,FALSE,"단축2";#N/A,#N/A,FALSE,"단축3";#N/A,#N/A,FALSE,"장축";#N/A,#N/A,FALSE,"4WD"}</definedName>
    <definedName name="ㅍㅍ" localSheetId="3" hidden="1">{#N/A,#N/A,FALSE,"단축1";#N/A,#N/A,FALSE,"단축2";#N/A,#N/A,FALSE,"단축3";#N/A,#N/A,FALSE,"장축";#N/A,#N/A,FALSE,"4WD"}</definedName>
    <definedName name="ㅍㅍ" localSheetId="0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매목표2" localSheetId="1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localSheetId="0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팽" localSheetId="1" hidden="1">{#N/A,#N/A,FALSE,"단축1";#N/A,#N/A,FALSE,"단축2";#N/A,#N/A,FALSE,"단축3";#N/A,#N/A,FALSE,"장축";#N/A,#N/A,FALSE,"4WD"}</definedName>
    <definedName name="팽" localSheetId="3" hidden="1">{#N/A,#N/A,FALSE,"단축1";#N/A,#N/A,FALSE,"단축2";#N/A,#N/A,FALSE,"단축3";#N/A,#N/A,FALSE,"장축";#N/A,#N/A,FALSE,"4WD"}</definedName>
    <definedName name="팽" localSheetId="0" hidden="1">{#N/A,#N/A,FALSE,"단축1";#N/A,#N/A,FALSE,"단축2";#N/A,#N/A,FALSE,"단축3";#N/A,#N/A,FALSE,"장축";#N/A,#N/A,FALSE,"4WD"}</definedName>
    <definedName name="팽" hidden="1">{#N/A,#N/A,FALSE,"단축1";#N/A,#N/A,FALSE,"단축2";#N/A,#N/A,FALSE,"단축3";#N/A,#N/A,FALSE,"장축";#N/A,#N/A,FALSE,"4WD"}</definedName>
    <definedName name="펜더안" localSheetId="1" hidden="1">{#N/A,#N/A,FALSE,"단축1";#N/A,#N/A,FALSE,"단축2";#N/A,#N/A,FALSE,"단축3";#N/A,#N/A,FALSE,"장축";#N/A,#N/A,FALSE,"4WD"}</definedName>
    <definedName name="펜더안" localSheetId="3" hidden="1">{#N/A,#N/A,FALSE,"단축1";#N/A,#N/A,FALSE,"단축2";#N/A,#N/A,FALSE,"단축3";#N/A,#N/A,FALSE,"장축";#N/A,#N/A,FALSE,"4WD"}</definedName>
    <definedName name="펜더안" localSheetId="0" hidden="1">{#N/A,#N/A,FALSE,"단축1";#N/A,#N/A,FALSE,"단축2";#N/A,#N/A,FALSE,"단축3";#N/A,#N/A,FALSE,"장축";#N/A,#N/A,FALSE,"4WD"}</definedName>
    <definedName name="펜더안" hidden="1">{#N/A,#N/A,FALSE,"단축1";#N/A,#N/A,FALSE,"단축2";#N/A,#N/A,FALSE,"단축3";#N/A,#N/A,FALSE,"장축";#N/A,#N/A,FALSE,"4WD"}</definedName>
    <definedName name="평가" localSheetId="1" hidden="1">{#N/A,#N/A,FALSE,"단축1";#N/A,#N/A,FALSE,"단축2";#N/A,#N/A,FALSE,"단축3";#N/A,#N/A,FALSE,"장축";#N/A,#N/A,FALSE,"4WD"}</definedName>
    <definedName name="평가" localSheetId="3" hidden="1">{#N/A,#N/A,FALSE,"단축1";#N/A,#N/A,FALSE,"단축2";#N/A,#N/A,FALSE,"단축3";#N/A,#N/A,FALSE,"장축";#N/A,#N/A,FALSE,"4WD"}</definedName>
    <definedName name="평가" localSheetId="0" hidden="1">{#N/A,#N/A,FALSE,"단축1";#N/A,#N/A,FALSE,"단축2";#N/A,#N/A,FALSE,"단축3";#N/A,#N/A,FALSE,"장축";#N/A,#N/A,FALSE,"4WD"}</definedName>
    <definedName name="평가" hidden="1">{#N/A,#N/A,FALSE,"단축1";#N/A,#N/A,FALSE,"단축2";#N/A,#N/A,FALSE,"단축3";#N/A,#N/A,FALSE,"장축";#N/A,#N/A,FALSE,"4WD"}</definedName>
    <definedName name="폴" localSheetId="1" hidden="1">{#N/A,#N/A,FALSE,"단축1";#N/A,#N/A,FALSE,"단축2";#N/A,#N/A,FALSE,"단축3";#N/A,#N/A,FALSE,"장축";#N/A,#N/A,FALSE,"4WD"}</definedName>
    <definedName name="폴" localSheetId="3" hidden="1">{#N/A,#N/A,FALSE,"단축1";#N/A,#N/A,FALSE,"단축2";#N/A,#N/A,FALSE,"단축3";#N/A,#N/A,FALSE,"장축";#N/A,#N/A,FALSE,"4WD"}</definedName>
    <definedName name="폴" localSheetId="0" hidden="1">{#N/A,#N/A,FALSE,"단축1";#N/A,#N/A,FALSE,"단축2";#N/A,#N/A,FALSE,"단축3";#N/A,#N/A,FALSE,"장축";#N/A,#N/A,FALSE,"4WD"}</definedName>
    <definedName name="폴" hidden="1">{#N/A,#N/A,FALSE,"단축1";#N/A,#N/A,FALSE,"단축2";#N/A,#N/A,FALSE,"단축3";#N/A,#N/A,FALSE,"장축";#N/A,#N/A,FALSE,"4WD"}</definedName>
    <definedName name="표지_PTN" localSheetId="1" hidden="1">{#N/A,#N/A,TRUE,"Y생산";#N/A,#N/A,TRUE,"Y판매";#N/A,#N/A,TRUE,"Y총물량";#N/A,#N/A,TRUE,"Y능력";#N/A,#N/A,TRUE,"YKD"}</definedName>
    <definedName name="표지_PTN" localSheetId="3" hidden="1">{#N/A,#N/A,TRUE,"Y생산";#N/A,#N/A,TRUE,"Y판매";#N/A,#N/A,TRUE,"Y총물량";#N/A,#N/A,TRUE,"Y능력";#N/A,#N/A,TRUE,"YKD"}</definedName>
    <definedName name="표지_PTN" localSheetId="0" hidden="1">{#N/A,#N/A,TRUE,"Y생산";#N/A,#N/A,TRUE,"Y판매";#N/A,#N/A,TRUE,"Y총물량";#N/A,#N/A,TRUE,"Y능력";#N/A,#N/A,TRUE,"YKD"}</definedName>
    <definedName name="표지_PTN" hidden="1">{#N/A,#N/A,TRUE,"Y생산";#N/A,#N/A,TRUE,"Y판매";#N/A,#N/A,TRUE,"Y총물량";#N/A,#N/A,TRUE,"Y능력";#N/A,#N/A,TRUE,"YKD"}</definedName>
    <definedName name="품질생산합격" localSheetId="1" hidden="1">{#N/A,#N/A,TRUE,"Y생산";#N/A,#N/A,TRUE,"Y판매";#N/A,#N/A,TRUE,"Y총물량";#N/A,#N/A,TRUE,"Y능력";#N/A,#N/A,TRUE,"YKD"}</definedName>
    <definedName name="품질생산합격" localSheetId="3" hidden="1">{#N/A,#N/A,TRUE,"Y생산";#N/A,#N/A,TRUE,"Y판매";#N/A,#N/A,TRUE,"Y총물량";#N/A,#N/A,TRUE,"Y능력";#N/A,#N/A,TRUE,"YKD"}</definedName>
    <definedName name="품질생산합격" localSheetId="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localSheetId="1" hidden="1">{#N/A,#N/A,FALSE,"단축1";#N/A,#N/A,FALSE,"단축2";#N/A,#N/A,FALSE,"단축3";#N/A,#N/A,FALSE,"장축";#N/A,#N/A,FALSE,"4WD"}</definedName>
    <definedName name="프레스" localSheetId="3" hidden="1">{#N/A,#N/A,FALSE,"단축1";#N/A,#N/A,FALSE,"단축2";#N/A,#N/A,FALSE,"단축3";#N/A,#N/A,FALSE,"장축";#N/A,#N/A,FALSE,"4WD"}</definedName>
    <definedName name="프레스" localSheetId="0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로젝트" localSheetId="3">#REF!</definedName>
    <definedName name="프로젝트">#REF!</definedName>
    <definedName name="필택" localSheetId="1" hidden="1">{#N/A,#N/A,FALSE,"단축1";#N/A,#N/A,FALSE,"단축2";#N/A,#N/A,FALSE,"단축3";#N/A,#N/A,FALSE,"장축";#N/A,#N/A,FALSE,"4WD"}</definedName>
    <definedName name="필택" localSheetId="3" hidden="1">{#N/A,#N/A,FALSE,"단축1";#N/A,#N/A,FALSE,"단축2";#N/A,#N/A,FALSE,"단축3";#N/A,#N/A,FALSE,"장축";#N/A,#N/A,FALSE,"4WD"}</definedName>
    <definedName name="필택" localSheetId="0" hidden="1">{#N/A,#N/A,FALSE,"단축1";#N/A,#N/A,FALSE,"단축2";#N/A,#N/A,FALSE,"단축3";#N/A,#N/A,FALSE,"장축";#N/A,#N/A,FALSE,"4WD"}</definedName>
    <definedName name="필택" hidden="1">{#N/A,#N/A,FALSE,"단축1";#N/A,#N/A,FALSE,"단축2";#N/A,#N/A,FALSE,"단축3";#N/A,#N/A,FALSE,"장축";#N/A,#N/A,FALSE,"4WD"}</definedName>
    <definedName name="ㅎ" localSheetId="1" hidden="1">{#N/A,#N/A,FALSE,"단축1";#N/A,#N/A,FALSE,"단축2";#N/A,#N/A,FALSE,"단축3";#N/A,#N/A,FALSE,"장축";#N/A,#N/A,FALSE,"4WD"}</definedName>
    <definedName name="ㅎ" localSheetId="3" hidden="1">{#N/A,#N/A,FALSE,"단축1";#N/A,#N/A,FALSE,"단축2";#N/A,#N/A,FALSE,"단축3";#N/A,#N/A,FALSE,"장축";#N/A,#N/A,FALSE,"4WD"}</definedName>
    <definedName name="ㅎ" localSheetId="0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교" localSheetId="1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ㅎ교" localSheetId="3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ㅎ교" localSheetId="0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ㅎ교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ㅎ라" localSheetId="1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localSheetId="0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ㅎㄶㄹㅇ" localSheetId="1" hidden="1">{"Acq_matrix",#N/A,FALSE,"Acquisition Matrix"}</definedName>
    <definedName name="ㅎㅎㄶㄹㅇ" localSheetId="3" hidden="1">{"Acq_matrix",#N/A,FALSE,"Acquisition Matrix"}</definedName>
    <definedName name="ㅎㅎㄶㄹㅇ" localSheetId="0" hidden="1">{"Acq_matrix",#N/A,FALSE,"Acquisition Matrix"}</definedName>
    <definedName name="ㅎㅎㄶㄹㅇ" hidden="1">{"Acq_matrix",#N/A,FALSE,"Acquisition Matrix"}</definedName>
    <definedName name="ㅎㅎㅎㅎ" localSheetId="1" hidden="1">{#N/A,#N/A,FALSE,"단축1";#N/A,#N/A,FALSE,"단축2";#N/A,#N/A,FALSE,"단축3";#N/A,#N/A,FALSE,"장축";#N/A,#N/A,FALSE,"4WD"}</definedName>
    <definedName name="ㅎㅎㅎㅎ" localSheetId="3" hidden="1">{#N/A,#N/A,FALSE,"단축1";#N/A,#N/A,FALSE,"단축2";#N/A,#N/A,FALSE,"단축3";#N/A,#N/A,FALSE,"장축";#N/A,#N/A,FALSE,"4WD"}</definedName>
    <definedName name="ㅎㅎㅎㅎ" localSheetId="0" hidden="1">{#N/A,#N/A,FALSE,"단축1";#N/A,#N/A,FALSE,"단축2";#N/A,#N/A,FALSE,"단축3";#N/A,#N/A,FALSE,"장축";#N/A,#N/A,FALSE,"4WD"}</definedName>
    <definedName name="ㅎㅎㅎㅎ" hidden="1">{#N/A,#N/A,FALSE,"단축1";#N/A,#N/A,FALSE,"단축2";#N/A,#N/A,FALSE,"단축3";#N/A,#N/A,FALSE,"장축";#N/A,#N/A,FALSE,"4WD"}</definedName>
    <definedName name="한" localSheetId="1" hidden="1">{#N/A,#N/A,FALSE,"단축1";#N/A,#N/A,FALSE,"단축2";#N/A,#N/A,FALSE,"단축3";#N/A,#N/A,FALSE,"장축";#N/A,#N/A,FALSE,"4WD"}</definedName>
    <definedName name="한" localSheetId="3" hidden="1">{#N/A,#N/A,FALSE,"단축1";#N/A,#N/A,FALSE,"단축2";#N/A,#N/A,FALSE,"단축3";#N/A,#N/A,FALSE,"장축";#N/A,#N/A,FALSE,"4WD"}</definedName>
    <definedName name="한" localSheetId="0" hidden="1">{#N/A,#N/A,FALSE,"단축1";#N/A,#N/A,FALSE,"단축2";#N/A,#N/A,FALSE,"단축3";#N/A,#N/A,FALSE,"장축";#N/A,#N/A,FALSE,"4WD"}</definedName>
    <definedName name="한" hidden="1">{#N/A,#N/A,FALSE,"단축1";#N/A,#N/A,FALSE,"단축2";#N/A,#N/A,FALSE,"단축3";#N/A,#N/A,FALSE,"장축";#N/A,#N/A,FALSE,"4WD"}</definedName>
    <definedName name="한영사전" localSheetId="1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localSheetId="0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영수" localSheetId="1" hidden="1">{#N/A,#N/A,FALSE,"총괄수정"}</definedName>
    <definedName name="한영수" localSheetId="3" hidden="1">{#N/A,#N/A,FALSE,"총괄수정"}</definedName>
    <definedName name="한영수" localSheetId="0" hidden="1">{#N/A,#N/A,FALSE,"총괄수정"}</definedName>
    <definedName name="한영수" hidden="1">{#N/A,#N/A,FALSE,"총괄수정"}</definedName>
    <definedName name="할" localSheetId="1" hidden="1">{#N/A,#N/A,FALSE,"단축1";#N/A,#N/A,FALSE,"단축2";#N/A,#N/A,FALSE,"단축3";#N/A,#N/A,FALSE,"장축";#N/A,#N/A,FALSE,"4WD"}</definedName>
    <definedName name="할" localSheetId="3" hidden="1">{#N/A,#N/A,FALSE,"단축1";#N/A,#N/A,FALSE,"단축2";#N/A,#N/A,FALSE,"단축3";#N/A,#N/A,FALSE,"장축";#N/A,#N/A,FALSE,"4WD"}</definedName>
    <definedName name="할" localSheetId="0" hidden="1">{#N/A,#N/A,FALSE,"단축1";#N/A,#N/A,FALSE,"단축2";#N/A,#N/A,FALSE,"단축3";#N/A,#N/A,FALSE,"장축";#N/A,#N/A,FALSE,"4WD"}</definedName>
    <definedName name="할" hidden="1">{#N/A,#N/A,FALSE,"단축1";#N/A,#N/A,FALSE,"단축2";#N/A,#N/A,FALSE,"단축3";#N/A,#N/A,FALSE,"장축";#N/A,#N/A,FALSE,"4WD"}</definedName>
    <definedName name="할인단가" localSheetId="3">#REF!</definedName>
    <definedName name="할인단가">#REF!</definedName>
    <definedName name="항항" localSheetId="1" hidden="1">{#N/A,#N/A,FALSE,"단축1";#N/A,#N/A,FALSE,"단축2";#N/A,#N/A,FALSE,"단축3";#N/A,#N/A,FALSE,"장축";#N/A,#N/A,FALSE,"4WD"}</definedName>
    <definedName name="항항" localSheetId="3" hidden="1">{#N/A,#N/A,FALSE,"단축1";#N/A,#N/A,FALSE,"단축2";#N/A,#N/A,FALSE,"단축3";#N/A,#N/A,FALSE,"장축";#N/A,#N/A,FALSE,"4WD"}</definedName>
    <definedName name="항항" localSheetId="0" hidden="1">{#N/A,#N/A,FALSE,"단축1";#N/A,#N/A,FALSE,"단축2";#N/A,#N/A,FALSE,"단축3";#N/A,#N/A,FALSE,"장축";#N/A,#N/A,FALSE,"4WD"}</definedName>
    <definedName name="항항" hidden="1">{#N/A,#N/A,FALSE,"단축1";#N/A,#N/A,FALSE,"단축2";#N/A,#N/A,FALSE,"단축3";#N/A,#N/A,FALSE,"장축";#N/A,#N/A,FALSE,"4WD"}</definedName>
    <definedName name="해ㅐㅇ" localSheetId="1" hidden="1">{#N/A,#N/A,FALSE,"단축1";#N/A,#N/A,FALSE,"단축2";#N/A,#N/A,FALSE,"단축3";#N/A,#N/A,FALSE,"장축";#N/A,#N/A,FALSE,"4WD"}</definedName>
    <definedName name="해ㅐㅇ" localSheetId="3" hidden="1">{#N/A,#N/A,FALSE,"단축1";#N/A,#N/A,FALSE,"단축2";#N/A,#N/A,FALSE,"단축3";#N/A,#N/A,FALSE,"장축";#N/A,#N/A,FALSE,"4WD"}</definedName>
    <definedName name="해ㅐㅇ" localSheetId="0" hidden="1">{#N/A,#N/A,FALSE,"단축1";#N/A,#N/A,FALSE,"단축2";#N/A,#N/A,FALSE,"단축3";#N/A,#N/A,FALSE,"장축";#N/A,#N/A,FALSE,"4WD"}</definedName>
    <definedName name="해ㅐㅇ" hidden="1">{#N/A,#N/A,FALSE,"단축1";#N/A,#N/A,FALSE,"단축2";#N/A,#N/A,FALSE,"단축3";#N/A,#N/A,FALSE,"장축";#N/A,#N/A,FALSE,"4WD"}</definedName>
    <definedName name="햔" localSheetId="1" hidden="1">{#N/A,#N/A,FALSE,"단축1";#N/A,#N/A,FALSE,"단축2";#N/A,#N/A,FALSE,"단축3";#N/A,#N/A,FALSE,"장축";#N/A,#N/A,FALSE,"4WD"}</definedName>
    <definedName name="햔" localSheetId="3" hidden="1">{#N/A,#N/A,FALSE,"단축1";#N/A,#N/A,FALSE,"단축2";#N/A,#N/A,FALSE,"단축3";#N/A,#N/A,FALSE,"장축";#N/A,#N/A,FALSE,"4WD"}</definedName>
    <definedName name="햔" localSheetId="0" hidden="1">{#N/A,#N/A,FALSE,"단축1";#N/A,#N/A,FALSE,"단축2";#N/A,#N/A,FALSE,"단축3";#N/A,#N/A,FALSE,"장축";#N/A,#N/A,FALSE,"4WD"}</definedName>
    <definedName name="햔" hidden="1">{#N/A,#N/A,FALSE,"단축1";#N/A,#N/A,FALSE,"단축2";#N/A,#N/A,FALSE,"단축3";#N/A,#N/A,FALSE,"장축";#N/A,#N/A,FALSE,"4WD"}</definedName>
    <definedName name="향후계획1" localSheetId="1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황표2" localSheetId="1" hidden="1">{#N/A,#N/A,FALSE,"단축1";#N/A,#N/A,FALSE,"단축2";#N/A,#N/A,FALSE,"단축3";#N/A,#N/A,FALSE,"장축";#N/A,#N/A,FALSE,"4WD"}</definedName>
    <definedName name="현황표2" localSheetId="3" hidden="1">{#N/A,#N/A,FALSE,"단축1";#N/A,#N/A,FALSE,"단축2";#N/A,#N/A,FALSE,"단축3";#N/A,#N/A,FALSE,"장축";#N/A,#N/A,FALSE,"4WD"}</definedName>
    <definedName name="현황표2" localSheetId="0" hidden="1">{#N/A,#N/A,FALSE,"단축1";#N/A,#N/A,FALSE,"단축2";#N/A,#N/A,FALSE,"단축3";#N/A,#N/A,FALSE,"장축";#N/A,#N/A,FALSE,"4WD"}</definedName>
    <definedName name="현황표2" hidden="1">{#N/A,#N/A,FALSE,"단축1";#N/A,#N/A,FALSE,"단축2";#N/A,#N/A,FALSE,"단축3";#N/A,#N/A,FALSE,"장축";#N/A,#N/A,FALSE,"4WD"}</definedName>
    <definedName name="호" localSheetId="1" hidden="1">{"qchm_dcf",#N/A,FALSE,"QCHMDCF2";"qchm_terminal",#N/A,FALSE,"QCHMDCF2"}</definedName>
    <definedName name="호" localSheetId="3" hidden="1">{"qchm_dcf",#N/A,FALSE,"QCHMDCF2";"qchm_terminal",#N/A,FALSE,"QCHMDCF2"}</definedName>
    <definedName name="호" localSheetId="0" hidden="1">{"qchm_dcf",#N/A,FALSE,"QCHMDCF2";"qchm_terminal",#N/A,FALSE,"QCHMDCF2"}</definedName>
    <definedName name="호" hidden="1">{"qchm_dcf",#N/A,FALSE,"QCHMDCF2";"qchm_terminal",#N/A,FALSE,"QCHMDCF2"}</definedName>
    <definedName name="호ㅓㅏ" localSheetId="1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localSheetId="0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홍기" localSheetId="1" hidden="1">{"qchm_dcf",#N/A,FALSE,"QCHMDCF2";"qchm_terminal",#N/A,FALSE,"QCHMDCF2"}</definedName>
    <definedName name="홍기" localSheetId="3" hidden="1">{"qchm_dcf",#N/A,FALSE,"QCHMDCF2";"qchm_terminal",#N/A,FALSE,"QCHMDCF2"}</definedName>
    <definedName name="홍기" localSheetId="0" hidden="1">{"qchm_dcf",#N/A,FALSE,"QCHMDCF2";"qchm_terminal",#N/A,FALSE,"QCHMDCF2"}</definedName>
    <definedName name="홍기" hidden="1">{"qchm_dcf",#N/A,FALSE,"QCHMDCF2";"qchm_terminal",#N/A,FALSE,"QCHMDCF2"}</definedName>
    <definedName name="후" localSheetId="1" hidden="1">{#N/A,#N/A,FALSE,"단축1";#N/A,#N/A,FALSE,"단축2";#N/A,#N/A,FALSE,"단축3";#N/A,#N/A,FALSE,"장축";#N/A,#N/A,FALSE,"4WD"}</definedName>
    <definedName name="후" localSheetId="3" hidden="1">{#N/A,#N/A,FALSE,"단축1";#N/A,#N/A,FALSE,"단축2";#N/A,#N/A,FALSE,"단축3";#N/A,#N/A,FALSE,"장축";#N/A,#N/A,FALSE,"4WD"}</definedName>
    <definedName name="후" localSheetId="0" hidden="1">{#N/A,#N/A,FALSE,"단축1";#N/A,#N/A,FALSE,"단축2";#N/A,#N/A,FALSE,"단축3";#N/A,#N/A,FALSE,"장축";#N/A,#N/A,FALSE,"4WD"}</definedName>
    <definedName name="후" hidden="1">{#N/A,#N/A,FALSE,"단축1";#N/A,#N/A,FALSE,"단축2";#N/A,#N/A,FALSE,"단축3";#N/A,#N/A,FALSE,"장축";#N/A,#N/A,FALSE,"4WD"}</definedName>
    <definedName name="ㅏ" localSheetId="1" hidden="1">{#N/A,#N/A,FALSE,"단축1";#N/A,#N/A,FALSE,"단축2";#N/A,#N/A,FALSE,"단축3";#N/A,#N/A,FALSE,"장축";#N/A,#N/A,FALSE,"4WD"}</definedName>
    <definedName name="ㅏ" localSheetId="3" hidden="1">{#N/A,#N/A,FALSE,"단축1";#N/A,#N/A,FALSE,"단축2";#N/A,#N/A,FALSE,"단축3";#N/A,#N/A,FALSE,"장축";#N/A,#N/A,FALSE,"4WD"}</definedName>
    <definedName name="ㅏ" localSheetId="0" hidden="1">{#N/A,#N/A,FALSE,"단축1";#N/A,#N/A,FALSE,"단축2";#N/A,#N/A,FALSE,"단축3";#N/A,#N/A,FALSE,"장축";#N/A,#N/A,FALSE,"4WD"}</definedName>
    <definedName name="ㅏ" hidden="1">{#N/A,#N/A,FALSE,"단축1";#N/A,#N/A,FALSE,"단축2";#N/A,#N/A,FALSE,"단축3";#N/A,#N/A,FALSE,"장축";#N/A,#N/A,FALSE,"4WD"}</definedName>
    <definedName name="ㅏ\" localSheetId="1" hidden="1">#REF!</definedName>
    <definedName name="ㅏ\" localSheetId="3" hidden="1">#REF!</definedName>
    <definedName name="ㅏ\" hidden="1">#REF!</definedName>
    <definedName name="ㅏㅏㅏ" localSheetId="1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ㅏㅏㅏ" localSheetId="3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ㅏㅏㅏ" localSheetId="0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ㅏㅏㅏ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ㅐㅐㅐㅐㅐㅐ" localSheetId="1" hidden="1">{#N/A,#N/A,FALSE,"단축1";#N/A,#N/A,FALSE,"단축2";#N/A,#N/A,FALSE,"단축3";#N/A,#N/A,FALSE,"장축";#N/A,#N/A,FALSE,"4WD"}</definedName>
    <definedName name="ㅐㅐㅐㅐㅐㅐ" localSheetId="3" hidden="1">{#N/A,#N/A,FALSE,"단축1";#N/A,#N/A,FALSE,"단축2";#N/A,#N/A,FALSE,"단축3";#N/A,#N/A,FALSE,"장축";#N/A,#N/A,FALSE,"4WD"}</definedName>
    <definedName name="ㅐㅐㅐㅐㅐㅐ" localSheetId="0" hidden="1">{#N/A,#N/A,FALSE,"단축1";#N/A,#N/A,FALSE,"단축2";#N/A,#N/A,FALSE,"단축3";#N/A,#N/A,FALSE,"장축";#N/A,#N/A,FALSE,"4WD"}</definedName>
    <definedName name="ㅐㅐㅐㅐㅐㅐ" hidden="1">{#N/A,#N/A,FALSE,"단축1";#N/A,#N/A,FALSE,"단축2";#N/A,#N/A,FALSE,"단축3";#N/A,#N/A,FALSE,"장축";#N/A,#N/A,FALSE,"4WD"}</definedName>
    <definedName name="ㅐㅔㅣ987" localSheetId="1" hidden="1">{#N/A,#N/A,FALSE,"단축1";#N/A,#N/A,FALSE,"단축2";#N/A,#N/A,FALSE,"단축3";#N/A,#N/A,FALSE,"장축";#N/A,#N/A,FALSE,"4WD"}</definedName>
    <definedName name="ㅐㅔㅣ987" localSheetId="3" hidden="1">{#N/A,#N/A,FALSE,"단축1";#N/A,#N/A,FALSE,"단축2";#N/A,#N/A,FALSE,"단축3";#N/A,#N/A,FALSE,"장축";#N/A,#N/A,FALSE,"4WD"}</definedName>
    <definedName name="ㅐㅔㅣ987" localSheetId="0" hidden="1">{#N/A,#N/A,FALSE,"단축1";#N/A,#N/A,FALSE,"단축2";#N/A,#N/A,FALSE,"단축3";#N/A,#N/A,FALSE,"장축";#N/A,#N/A,FALSE,"4WD"}</definedName>
    <definedName name="ㅐㅔㅣ987" hidden="1">{#N/A,#N/A,FALSE,"단축1";#N/A,#N/A,FALSE,"단축2";#N/A,#N/A,FALSE,"단축3";#N/A,#N/A,FALSE,"장축";#N/A,#N/A,FALSE,"4WD"}</definedName>
    <definedName name="ㅑ" localSheetId="1" hidden="1">{#N/A,#N/A,FALSE,"단축1";#N/A,#N/A,FALSE,"단축2";#N/A,#N/A,FALSE,"단축3";#N/A,#N/A,FALSE,"장축";#N/A,#N/A,FALSE,"4WD"}</definedName>
    <definedName name="ㅑ" localSheetId="3" hidden="1">{#N/A,#N/A,FALSE,"단축1";#N/A,#N/A,FALSE,"단축2";#N/A,#N/A,FALSE,"단축3";#N/A,#N/A,FALSE,"장축";#N/A,#N/A,FALSE,"4WD"}</definedName>
    <definedName name="ㅑ" localSheetId="0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ㅓ" localSheetId="1" hidden="1">{#N/A,#N/A,TRUE,"Y생산";#N/A,#N/A,TRUE,"Y판매";#N/A,#N/A,TRUE,"Y총물량";#N/A,#N/A,TRUE,"Y능력";#N/A,#N/A,TRUE,"YKD"}</definedName>
    <definedName name="ㅓ" localSheetId="3" hidden="1">{#N/A,#N/A,TRUE,"Y생산";#N/A,#N/A,TRUE,"Y판매";#N/A,#N/A,TRUE,"Y총물량";#N/A,#N/A,TRUE,"Y능력";#N/A,#N/A,TRUE,"YKD"}</definedName>
    <definedName name="ㅓ" localSheetId="0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ㅓㅓㅓ" localSheetId="1" hidden="1">{#N/A,#N/A,FALSE,"단축1";#N/A,#N/A,FALSE,"단축2";#N/A,#N/A,FALSE,"단축3";#N/A,#N/A,FALSE,"장축";#N/A,#N/A,FALSE,"4WD"}</definedName>
    <definedName name="ㅓㅓㅓㅓㅓ" localSheetId="3" hidden="1">{#N/A,#N/A,FALSE,"단축1";#N/A,#N/A,FALSE,"단축2";#N/A,#N/A,FALSE,"단축3";#N/A,#N/A,FALSE,"장축";#N/A,#N/A,FALSE,"4WD"}</definedName>
    <definedName name="ㅓㅓㅓㅓㅓ" localSheetId="0" hidden="1">{#N/A,#N/A,FALSE,"단축1";#N/A,#N/A,FALSE,"단축2";#N/A,#N/A,FALSE,"단축3";#N/A,#N/A,FALSE,"장축";#N/A,#N/A,FALSE,"4WD"}</definedName>
    <definedName name="ㅓㅓㅓㅓㅓ" hidden="1">{#N/A,#N/A,FALSE,"단축1";#N/A,#N/A,FALSE,"단축2";#N/A,#N/A,FALSE,"단축3";#N/A,#N/A,FALSE,"장축";#N/A,#N/A,FALSE,"4WD"}</definedName>
    <definedName name="ㅔ" localSheetId="1" hidden="1">{#N/A,#N/A,FALSE,"단축1";#N/A,#N/A,FALSE,"단축2";#N/A,#N/A,FALSE,"단축3";#N/A,#N/A,FALSE,"장축";#N/A,#N/A,FALSE,"4WD"}</definedName>
    <definedName name="ㅔ" localSheetId="3" hidden="1">{#N/A,#N/A,FALSE,"단축1";#N/A,#N/A,FALSE,"단축2";#N/A,#N/A,FALSE,"단축3";#N/A,#N/A,FALSE,"장축";#N/A,#N/A,FALSE,"4WD"}</definedName>
    <definedName name="ㅔ" localSheetId="0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ㅕㅣㅎ" localSheetId="1" hidden="1">{#N/A,#N/A,FALSE,"단축1";#N/A,#N/A,FALSE,"단축2";#N/A,#N/A,FALSE,"단축3";#N/A,#N/A,FALSE,"장축";#N/A,#N/A,FALSE,"4WD"}</definedName>
    <definedName name="ㅕㅣㅎ" localSheetId="3" hidden="1">{#N/A,#N/A,FALSE,"단축1";#N/A,#N/A,FALSE,"단축2";#N/A,#N/A,FALSE,"단축3";#N/A,#N/A,FALSE,"장축";#N/A,#N/A,FALSE,"4WD"}</definedName>
    <definedName name="ㅕㅣㅎ" localSheetId="0" hidden="1">{#N/A,#N/A,FALSE,"단축1";#N/A,#N/A,FALSE,"단축2";#N/A,#N/A,FALSE,"단축3";#N/A,#N/A,FALSE,"장축";#N/A,#N/A,FALSE,"4WD"}</definedName>
    <definedName name="ㅕㅣㅎ" hidden="1">{#N/A,#N/A,FALSE,"단축1";#N/A,#N/A,FALSE,"단축2";#N/A,#N/A,FALSE,"단축3";#N/A,#N/A,FALSE,"장축";#N/A,#N/A,FALSE,"4WD"}</definedName>
    <definedName name="ㅗ12" localSheetId="1" hidden="1">{#N/A,#N/A,FALSE,"단축1";#N/A,#N/A,FALSE,"단축2";#N/A,#N/A,FALSE,"단축3";#N/A,#N/A,FALSE,"장축";#N/A,#N/A,FALSE,"4WD"}</definedName>
    <definedName name="ㅗ12" localSheetId="3" hidden="1">{#N/A,#N/A,FALSE,"단축1";#N/A,#N/A,FALSE,"단축2";#N/A,#N/A,FALSE,"단축3";#N/A,#N/A,FALSE,"장축";#N/A,#N/A,FALSE,"4WD"}</definedName>
    <definedName name="ㅗ12" localSheetId="0" hidden="1">{#N/A,#N/A,FALSE,"단축1";#N/A,#N/A,FALSE,"단축2";#N/A,#N/A,FALSE,"단축3";#N/A,#N/A,FALSE,"장축";#N/A,#N/A,FALSE,"4WD"}</definedName>
    <definedName name="ㅗ12" hidden="1">{#N/A,#N/A,FALSE,"단축1";#N/A,#N/A,FALSE,"단축2";#N/A,#N/A,FALSE,"단축3";#N/A,#N/A,FALSE,"장축";#N/A,#N/A,FALSE,"4WD"}</definedName>
    <definedName name="ㅗㄴㅇ퓨ㅑ" localSheetId="1" hidden="1">{#N/A,#N/A,FALSE,"단축1";#N/A,#N/A,FALSE,"단축2";#N/A,#N/A,FALSE,"단축3";#N/A,#N/A,FALSE,"장축";#N/A,#N/A,FALSE,"4WD"}</definedName>
    <definedName name="ㅗㄴㅇ퓨ㅑ" localSheetId="3" hidden="1">{#N/A,#N/A,FALSE,"단축1";#N/A,#N/A,FALSE,"단축2";#N/A,#N/A,FALSE,"단축3";#N/A,#N/A,FALSE,"장축";#N/A,#N/A,FALSE,"4WD"}</definedName>
    <definedName name="ㅗㄴㅇ퓨ㅑ" localSheetId="0" hidden="1">{#N/A,#N/A,FALSE,"단축1";#N/A,#N/A,FALSE,"단축2";#N/A,#N/A,FALSE,"단축3";#N/A,#N/A,FALSE,"장축";#N/A,#N/A,FALSE,"4WD"}</definedName>
    <definedName name="ㅗㄴㅇ퓨ㅑ" hidden="1">{#N/A,#N/A,FALSE,"단축1";#N/A,#N/A,FALSE,"단축2";#N/A,#N/A,FALSE,"단축3";#N/A,#N/A,FALSE,"장축";#N/A,#N/A,FALSE,"4WD"}</definedName>
    <definedName name="ㅗ뇨" localSheetId="1" hidden="1">{#N/A,#N/A,FALSE,"단축1";#N/A,#N/A,FALSE,"단축2";#N/A,#N/A,FALSE,"단축3";#N/A,#N/A,FALSE,"장축";#N/A,#N/A,FALSE,"4WD"}</definedName>
    <definedName name="ㅗ뇨" localSheetId="3" hidden="1">{#N/A,#N/A,FALSE,"단축1";#N/A,#N/A,FALSE,"단축2";#N/A,#N/A,FALSE,"단축3";#N/A,#N/A,FALSE,"장축";#N/A,#N/A,FALSE,"4WD"}</definedName>
    <definedName name="ㅗ뇨" localSheetId="0" hidden="1">{#N/A,#N/A,FALSE,"단축1";#N/A,#N/A,FALSE,"단축2";#N/A,#N/A,FALSE,"단축3";#N/A,#N/A,FALSE,"장축";#N/A,#N/A,FALSE,"4WD"}</definedName>
    <definedName name="ㅗ뇨" hidden="1">{#N/A,#N/A,FALSE,"단축1";#N/A,#N/A,FALSE,"단축2";#N/A,#N/A,FALSE,"단축3";#N/A,#N/A,FALSE,"장축";#N/A,#N/A,FALSE,"4WD"}</definedName>
    <definedName name="ㅗㅎ" localSheetId="1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localSheetId="0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허ㅓㅗ" localSheetId="1" hidden="1">{#N/A,#N/A,FALSE,"단축1";#N/A,#N/A,FALSE,"단축2";#N/A,#N/A,FALSE,"단축3";#N/A,#N/A,FALSE,"장축";#N/A,#N/A,FALSE,"4WD"}</definedName>
    <definedName name="ㅗ허ㅓㅗ" localSheetId="3" hidden="1">{#N/A,#N/A,FALSE,"단축1";#N/A,#N/A,FALSE,"단축2";#N/A,#N/A,FALSE,"단축3";#N/A,#N/A,FALSE,"장축";#N/A,#N/A,FALSE,"4WD"}</definedName>
    <definedName name="ㅗ허ㅓㅗ" localSheetId="0" hidden="1">{#N/A,#N/A,FALSE,"단축1";#N/A,#N/A,FALSE,"단축2";#N/A,#N/A,FALSE,"단축3";#N/A,#N/A,FALSE,"장축";#N/A,#N/A,FALSE,"4WD"}</definedName>
    <definedName name="ㅗ허ㅓㅗ" hidden="1">{#N/A,#N/A,FALSE,"단축1";#N/A,#N/A,FALSE,"단축2";#N/A,#N/A,FALSE,"단축3";#N/A,#N/A,FALSE,"장축";#N/A,#N/A,FALSE,"4WD"}</definedName>
    <definedName name="ㅗㅓ올\" localSheetId="1" hidden="1">{#N/A,#N/A,FALSE,"단축1";#N/A,#N/A,FALSE,"단축2";#N/A,#N/A,FALSE,"단축3";#N/A,#N/A,FALSE,"장축";#N/A,#N/A,FALSE,"4WD"}</definedName>
    <definedName name="ㅗㅓ올\" localSheetId="3" hidden="1">{#N/A,#N/A,FALSE,"단축1";#N/A,#N/A,FALSE,"단축2";#N/A,#N/A,FALSE,"단축3";#N/A,#N/A,FALSE,"장축";#N/A,#N/A,FALSE,"4WD"}</definedName>
    <definedName name="ㅗㅓ올\" localSheetId="0" hidden="1">{#N/A,#N/A,FALSE,"단축1";#N/A,#N/A,FALSE,"단축2";#N/A,#N/A,FALSE,"단축3";#N/A,#N/A,FALSE,"장축";#N/A,#N/A,FALSE,"4WD"}</definedName>
    <definedName name="ㅗㅓ올\" hidden="1">{#N/A,#N/A,FALSE,"단축1";#N/A,#N/A,FALSE,"단축2";#N/A,#N/A,FALSE,"단축3";#N/A,#N/A,FALSE,"장축";#N/A,#N/A,FALSE,"4WD"}</definedName>
    <definedName name="ㅗㅓㅏ" localSheetId="1" hidden="1">#REF!</definedName>
    <definedName name="ㅗㅓㅏ" localSheetId="3" hidden="1">#REF!</definedName>
    <definedName name="ㅗㅓㅏ" hidden="1">#REF!</definedName>
    <definedName name="ㅗㅗ" localSheetId="1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localSheetId="0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ㅗㅗ" localSheetId="1" hidden="1">{"targetdcf",#N/A,FALSE,"Merger consequences";"TARGETASSU",#N/A,FALSE,"Merger consequences";"TERMINAL VALUE",#N/A,FALSE,"Merger consequences"}</definedName>
    <definedName name="ㅗㅗㅗ" localSheetId="3" hidden="1">{"targetdcf",#N/A,FALSE,"Merger consequences";"TARGETASSU",#N/A,FALSE,"Merger consequences";"TERMINAL VALUE",#N/A,FALSE,"Merger consequences"}</definedName>
    <definedName name="ㅗㅗㅗ" localSheetId="0" hidden="1">{"targetdcf",#N/A,FALSE,"Merger consequences";"TARGETASSU",#N/A,FALSE,"Merger consequences";"TERMINAL VALUE",#N/A,FALSE,"Merger consequences"}</definedName>
    <definedName name="ㅗㅗㅗ" hidden="1">{"targetdcf",#N/A,FALSE,"Merger consequences";"TARGETASSU",#N/A,FALSE,"Merger consequences";"TERMINAL VALUE",#N/A,FALSE,"Merger consequences"}</definedName>
    <definedName name="ㅛ" localSheetId="1" hidden="1">{#N/A,#N/A,FALSE,"단축1";#N/A,#N/A,FALSE,"단축2";#N/A,#N/A,FALSE,"단축3";#N/A,#N/A,FALSE,"장축";#N/A,#N/A,FALSE,"4WD"}</definedName>
    <definedName name="ㅛ" localSheetId="3" hidden="1">{#N/A,#N/A,FALSE,"단축1";#N/A,#N/A,FALSE,"단축2";#N/A,#N/A,FALSE,"단축3";#N/A,#N/A,FALSE,"장축";#N/A,#N/A,FALSE,"4WD"}</definedName>
    <definedName name="ㅛ" localSheetId="0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ㅛㅅ" localSheetId="1" hidden="1">{#N/A,#N/A,TRUE,"Y생산";#N/A,#N/A,TRUE,"Y판매";#N/A,#N/A,TRUE,"Y총물량";#N/A,#N/A,TRUE,"Y능력";#N/A,#N/A,TRUE,"YKD"}</definedName>
    <definedName name="ㅛㅅ" localSheetId="3" hidden="1">{#N/A,#N/A,TRUE,"Y생산";#N/A,#N/A,TRUE,"Y판매";#N/A,#N/A,TRUE,"Y총물량";#N/A,#N/A,TRUE,"Y능력";#N/A,#N/A,TRUE,"YKD"}</definedName>
    <definedName name="ㅛㅅ" localSheetId="0" hidden="1">{#N/A,#N/A,TRUE,"Y생산";#N/A,#N/A,TRUE,"Y판매";#N/A,#N/A,TRUE,"Y총물량";#N/A,#N/A,TRUE,"Y능력";#N/A,#N/A,TRUE,"YKD"}</definedName>
    <definedName name="ㅛㅅ" hidden="1">{#N/A,#N/A,TRUE,"Y생산";#N/A,#N/A,TRUE,"Y판매";#N/A,#N/A,TRUE,"Y총물량";#N/A,#N/A,TRUE,"Y능력";#N/A,#N/A,TRUE,"YKD"}</definedName>
    <definedName name="ㅛㅛㅕㅗㅓ" localSheetId="1" hidden="1">{#N/A,#N/A,FALSE,"단축1";#N/A,#N/A,FALSE,"단축2";#N/A,#N/A,FALSE,"단축3";#N/A,#N/A,FALSE,"장축";#N/A,#N/A,FALSE,"4WD"}</definedName>
    <definedName name="ㅛㅛㅕㅗㅓ" localSheetId="3" hidden="1">{#N/A,#N/A,FALSE,"단축1";#N/A,#N/A,FALSE,"단축2";#N/A,#N/A,FALSE,"단축3";#N/A,#N/A,FALSE,"장축";#N/A,#N/A,FALSE,"4WD"}</definedName>
    <definedName name="ㅛㅛㅕㅗㅓ" localSheetId="0" hidden="1">{#N/A,#N/A,FALSE,"단축1";#N/A,#N/A,FALSE,"단축2";#N/A,#N/A,FALSE,"단축3";#N/A,#N/A,FALSE,"장축";#N/A,#N/A,FALSE,"4WD"}</definedName>
    <definedName name="ㅛㅛㅕㅗㅓ" hidden="1">{#N/A,#N/A,FALSE,"단축1";#N/A,#N/A,FALSE,"단축2";#N/A,#N/A,FALSE,"단축3";#N/A,#N/A,FALSE,"장축";#N/A,#N/A,FALSE,"4WD"}</definedName>
    <definedName name="ㅜ" localSheetId="1" hidden="1">{#N/A,#N/A,FALSE,"단축1";#N/A,#N/A,FALSE,"단축2";#N/A,#N/A,FALSE,"단축3";#N/A,#N/A,FALSE,"장축";#N/A,#N/A,FALSE,"4WD"}</definedName>
    <definedName name="ㅜ" localSheetId="3" hidden="1">{#N/A,#N/A,FALSE,"단축1";#N/A,#N/A,FALSE,"단축2";#N/A,#N/A,FALSE,"단축3";#N/A,#N/A,FALSE,"장축";#N/A,#N/A,FALSE,"4WD"}</definedName>
    <definedName name="ㅜ" localSheetId="0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" localSheetId="1" hidden="1">{#N/A,#N/A,FALSE,"단축1";#N/A,#N/A,FALSE,"단축2";#N/A,#N/A,FALSE,"단축3";#N/A,#N/A,FALSE,"장축";#N/A,#N/A,FALSE,"4WD"}</definedName>
    <definedName name="ㅠ" localSheetId="3" hidden="1">{#N/A,#N/A,FALSE,"단축1";#N/A,#N/A,FALSE,"단축2";#N/A,#N/A,FALSE,"단축3";#N/A,#N/A,FALSE,"장축";#N/A,#N/A,FALSE,"4WD"}</definedName>
    <definedName name="ㅠ" localSheetId="0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ㅠㄹ" localSheetId="1" hidden="1">{#N/A,#N/A,FALSE,"단축1";#N/A,#N/A,FALSE,"단축2";#N/A,#N/A,FALSE,"단축3";#N/A,#N/A,FALSE,"장축";#N/A,#N/A,FALSE,"4WD"}</definedName>
    <definedName name="ㅠㄹ" localSheetId="3" hidden="1">{#N/A,#N/A,FALSE,"단축1";#N/A,#N/A,FALSE,"단축2";#N/A,#N/A,FALSE,"단축3";#N/A,#N/A,FALSE,"장축";#N/A,#N/A,FALSE,"4WD"}</definedName>
    <definedName name="ㅠㄹ" localSheetId="0" hidden="1">{#N/A,#N/A,FALSE,"단축1";#N/A,#N/A,FALSE,"단축2";#N/A,#N/A,FALSE,"단축3";#N/A,#N/A,FALSE,"장축";#N/A,#N/A,FALSE,"4WD"}</definedName>
    <definedName name="ㅠㄹ" hidden="1">{#N/A,#N/A,FALSE,"단축1";#N/A,#N/A,FALSE,"단축2";#N/A,#N/A,FALSE,"단축3";#N/A,#N/A,FALSE,"장축";#N/A,#N/A,FALSE,"4WD"}</definedName>
    <definedName name="ㅣ" localSheetId="1" hidden="1">{#N/A,#N/A,FALSE,"단축1";#N/A,#N/A,FALSE,"단축2";#N/A,#N/A,FALSE,"단축3";#N/A,#N/A,FALSE,"장축";#N/A,#N/A,FALSE,"4WD"}</definedName>
    <definedName name="ㅣ" localSheetId="3" hidden="1">{#N/A,#N/A,FALSE,"단축1";#N/A,#N/A,FALSE,"단축2";#N/A,#N/A,FALSE,"단축3";#N/A,#N/A,FALSE,"장축";#N/A,#N/A,FALSE,"4WD"}</definedName>
    <definedName name="ㅣ" localSheetId="0" hidden="1">{#N/A,#N/A,FALSE,"단축1";#N/A,#N/A,FALSE,"단축2";#N/A,#N/A,FALSE,"단축3";#N/A,#N/A,FALSE,"장축";#N/A,#N/A,FALSE,"4WD"}</definedName>
    <definedName name="ㅣ" hidden="1">{#N/A,#N/A,FALSE,"단축1";#N/A,#N/A,FALSE,"단축2";#N/A,#N/A,FALSE,"단축3";#N/A,#N/A,FALSE,"장축";#N/A,#N/A,FALSE,"4WD"}</definedName>
    <definedName name="ㅣㅏㅏㅐ" localSheetId="1" hidden="1">{#N/A,#N/A,FALSE,"유첨5-1";#N/A,#N/A,FALSE,"5-2";#N/A,#N/A,FALSE,"5-3";#N/A,#N/A,FALSE,"5-4";#N/A,#N/A,FALSE,"5-5";#N/A,#N/A,FALSE,"5-6";#N/A,#N/A,FALSE,"5-7";#N/A,#N/A,FALSE,"5-8"}</definedName>
    <definedName name="ㅣㅏㅏㅐ" localSheetId="3" hidden="1">{#N/A,#N/A,FALSE,"유첨5-1";#N/A,#N/A,FALSE,"5-2";#N/A,#N/A,FALSE,"5-3";#N/A,#N/A,FALSE,"5-4";#N/A,#N/A,FALSE,"5-5";#N/A,#N/A,FALSE,"5-6";#N/A,#N/A,FALSE,"5-7";#N/A,#N/A,FALSE,"5-8"}</definedName>
    <definedName name="ㅣㅏㅏㅐ" localSheetId="0" hidden="1">{#N/A,#N/A,FALSE,"유첨5-1";#N/A,#N/A,FALSE,"5-2";#N/A,#N/A,FALSE,"5-3";#N/A,#N/A,FALSE,"5-4";#N/A,#N/A,FALSE,"5-5";#N/A,#N/A,FALSE,"5-6";#N/A,#N/A,FALSE,"5-7";#N/A,#N/A,FALSE,"5-8"}</definedName>
    <definedName name="ㅣㅏㅏㅐ" hidden="1">{#N/A,#N/A,FALSE,"유첨5-1";#N/A,#N/A,FALSE,"5-2";#N/A,#N/A,FALSE,"5-3";#N/A,#N/A,FALSE,"5-4";#N/A,#N/A,FALSE,"5-5";#N/A,#N/A,FALSE,"5-6";#N/A,#N/A,FALSE,"5-7";#N/A,#N/A,FALSE,"5-8"}</definedName>
    <definedName name="ㅣㅑㅓㅔ" localSheetId="3" hidden="1">#REF!</definedName>
    <definedName name="ㅣㅑㅓㅔ" hidden="1">#REF!</definedName>
    <definedName name="ㅣㅣ" localSheetId="1" hidden="1">{#N/A,#N/A,FALSE,"단축1";#N/A,#N/A,FALSE,"단축2";#N/A,#N/A,FALSE,"단축3";#N/A,#N/A,FALSE,"장축";#N/A,#N/A,FALSE,"4WD"}</definedName>
    <definedName name="ㅣㅣ" localSheetId="3" hidden="1">{#N/A,#N/A,FALSE,"단축1";#N/A,#N/A,FALSE,"단축2";#N/A,#N/A,FALSE,"단축3";#N/A,#N/A,FALSE,"장축";#N/A,#N/A,FALSE,"4WD"}</definedName>
    <definedName name="ㅣㅣ" localSheetId="0" hidden="1">{#N/A,#N/A,FALSE,"단축1";#N/A,#N/A,FALSE,"단축2";#N/A,#N/A,FALSE,"단축3";#N/A,#N/A,FALSE,"장축";#N/A,#N/A,FALSE,"4WD"}</definedName>
    <definedName name="ㅣㅣ" hidden="1">{#N/A,#N/A,FALSE,"단축1";#N/A,#N/A,FALSE,"단축2";#N/A,#N/A,FALSE,"단축3";#N/A,#N/A,FALSE,"장축";#N/A,#N/A,FALSE,"4WD"}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1" i="19" l="1"/>
  <c r="L24" i="19" l="1"/>
  <c r="N24" i="19" s="1"/>
  <c r="L104" i="19" l="1"/>
  <c r="L109" i="19" l="1"/>
  <c r="N104" i="19"/>
  <c r="O80" i="19"/>
  <c r="L80" i="19"/>
  <c r="N80" i="19" s="1"/>
  <c r="O79" i="19"/>
  <c r="L79" i="19"/>
  <c r="N79" i="19" s="1"/>
  <c r="L44" i="19"/>
  <c r="N44" i="19" s="1"/>
  <c r="L84" i="19" l="1"/>
  <c r="N84" i="19" s="1"/>
  <c r="L35" i="19" l="1"/>
  <c r="N35" i="19" s="1"/>
  <c r="L34" i="19"/>
  <c r="N34" i="19" s="1"/>
  <c r="L54" i="19" l="1"/>
  <c r="N54" i="19" s="1"/>
  <c r="L53" i="19"/>
  <c r="N53" i="19" s="1"/>
  <c r="O78" i="19" l="1"/>
  <c r="L78" i="19"/>
  <c r="N78" i="19" s="1"/>
  <c r="O77" i="19"/>
  <c r="L77" i="19"/>
  <c r="N77" i="19" s="1"/>
  <c r="O76" i="19"/>
  <c r="L76" i="19"/>
  <c r="N76" i="19" s="1"/>
  <c r="O75" i="19"/>
  <c r="L75" i="19"/>
  <c r="N75" i="19" s="1"/>
  <c r="N67" i="19"/>
  <c r="L67" i="19"/>
  <c r="N139" i="19" l="1"/>
  <c r="N68" i="19"/>
  <c r="N62" i="19"/>
  <c r="L62" i="19" l="1"/>
  <c r="L139" i="19"/>
  <c r="L68" i="19"/>
  <c r="O45" i="19"/>
  <c r="O141" i="19"/>
  <c r="O82" i="19" l="1"/>
  <c r="O81" i="19"/>
  <c r="O74" i="19"/>
  <c r="O73" i="19"/>
  <c r="O72" i="19"/>
  <c r="O71" i="19"/>
  <c r="O70" i="19"/>
  <c r="O69" i="19"/>
  <c r="O37" i="19"/>
  <c r="O36" i="19"/>
  <c r="O26" i="19"/>
  <c r="L82" i="19" l="1"/>
  <c r="N82" i="19" s="1"/>
  <c r="L81" i="19"/>
  <c r="N81" i="19" s="1"/>
  <c r="L74" i="19"/>
  <c r="N74" i="19" s="1"/>
  <c r="L73" i="19"/>
  <c r="N73" i="19" s="1"/>
  <c r="L115" i="19" l="1"/>
  <c r="L116" i="19"/>
  <c r="L114" i="19"/>
  <c r="L154" i="19" l="1"/>
  <c r="N154" i="19" s="1"/>
  <c r="L153" i="19"/>
  <c r="N153" i="19" s="1"/>
  <c r="L152" i="19"/>
  <c r="N152" i="19" s="1"/>
  <c r="L151" i="19"/>
  <c r="L155" i="19" l="1"/>
  <c r="N151" i="19"/>
  <c r="L40" i="19"/>
  <c r="N40" i="19" s="1"/>
  <c r="N155" i="19" l="1"/>
  <c r="M155" i="19" s="1"/>
  <c r="L137" i="19"/>
  <c r="N137" i="19" s="1"/>
  <c r="I171" i="19" l="1"/>
  <c r="D17" i="19"/>
  <c r="L103" i="19"/>
  <c r="N103" i="19" s="1"/>
  <c r="L146" i="19" l="1"/>
  <c r="L147" i="19" s="1"/>
  <c r="N146" i="19" l="1"/>
  <c r="N147" i="19" s="1"/>
  <c r="I169" i="19" l="1"/>
  <c r="M147" i="19"/>
  <c r="D16" i="19"/>
  <c r="L36" i="19"/>
  <c r="N36" i="19" s="1"/>
  <c r="L57" i="19" l="1"/>
  <c r="N57" i="19" s="1"/>
  <c r="L72" i="19"/>
  <c r="N72" i="19" s="1"/>
  <c r="L71" i="19"/>
  <c r="N71" i="19" s="1"/>
  <c r="L70" i="19"/>
  <c r="N70" i="19" s="1"/>
  <c r="L69" i="19"/>
  <c r="L125" i="19"/>
  <c r="N125" i="19" s="1"/>
  <c r="N69" i="19" l="1"/>
  <c r="L59" i="19"/>
  <c r="N59" i="19" s="1"/>
  <c r="L45" i="19" l="1"/>
  <c r="N45" i="19" s="1"/>
  <c r="L108" i="19" l="1"/>
  <c r="L107" i="19"/>
  <c r="N107" i="19" s="1"/>
  <c r="L106" i="19"/>
  <c r="N106" i="19" s="1"/>
  <c r="L102" i="19"/>
  <c r="N102" i="19" s="1"/>
  <c r="L100" i="19"/>
  <c r="N100" i="19" s="1"/>
  <c r="L99" i="19"/>
  <c r="N99" i="19" s="1"/>
  <c r="L98" i="19"/>
  <c r="L97" i="19"/>
  <c r="N97" i="19" s="1"/>
  <c r="L96" i="19"/>
  <c r="N96" i="19" s="1"/>
  <c r="L95" i="19"/>
  <c r="N95" i="19" s="1"/>
  <c r="L94" i="19"/>
  <c r="N94" i="19" s="1"/>
  <c r="L93" i="19"/>
  <c r="N93" i="19" s="1"/>
  <c r="L92" i="19"/>
  <c r="N92" i="19" s="1"/>
  <c r="L91" i="19"/>
  <c r="N91" i="19" s="1"/>
  <c r="L89" i="19"/>
  <c r="N89" i="19" s="1"/>
  <c r="L88" i="19"/>
  <c r="N88" i="19" s="1"/>
  <c r="L85" i="19"/>
  <c r="N85" i="19" s="1"/>
  <c r="L83" i="19"/>
  <c r="N108" i="19" l="1"/>
  <c r="N98" i="19"/>
  <c r="N83" i="19"/>
  <c r="N109" i="19" l="1"/>
  <c r="M109" i="19" s="1"/>
  <c r="I134" i="19" l="1"/>
  <c r="L134" i="19" s="1"/>
  <c r="N134" i="19" s="1"/>
  <c r="I135" i="19"/>
  <c r="L135" i="19" s="1"/>
  <c r="N135" i="19" s="1"/>
  <c r="I136" i="19"/>
  <c r="L136" i="19" s="1"/>
  <c r="N136" i="19" s="1"/>
  <c r="I138" i="19"/>
  <c r="L138" i="19" s="1"/>
  <c r="N138" i="19" s="1"/>
  <c r="L128" i="19"/>
  <c r="N128" i="19" s="1"/>
  <c r="L129" i="19"/>
  <c r="N129" i="19" s="1"/>
  <c r="L130" i="19"/>
  <c r="N130" i="19" s="1"/>
  <c r="L131" i="19"/>
  <c r="N131" i="19" s="1"/>
  <c r="N115" i="19"/>
  <c r="L61" i="19"/>
  <c r="N61" i="19" s="1"/>
  <c r="L123" i="19" l="1"/>
  <c r="N123" i="19" s="1"/>
  <c r="I133" i="19"/>
  <c r="L122" i="19"/>
  <c r="N122" i="19" s="1"/>
  <c r="L121" i="19"/>
  <c r="I142" i="19"/>
  <c r="L142" i="19" s="1"/>
  <c r="N142" i="19" l="1"/>
  <c r="L133" i="19"/>
  <c r="N133" i="19" s="1"/>
  <c r="L127" i="19"/>
  <c r="L126" i="19"/>
  <c r="N126" i="19" s="1"/>
  <c r="L124" i="19"/>
  <c r="N124" i="19" s="1"/>
  <c r="L140" i="19" l="1"/>
  <c r="N127" i="19"/>
  <c r="L141" i="19"/>
  <c r="L58" i="19"/>
  <c r="N58" i="19" s="1"/>
  <c r="L23" i="19"/>
  <c r="N23" i="19" s="1"/>
  <c r="L56" i="19"/>
  <c r="N56" i="19" s="1"/>
  <c r="L47" i="19"/>
  <c r="N47" i="19" s="1"/>
  <c r="L52" i="19"/>
  <c r="N52" i="19" s="1"/>
  <c r="L46" i="19"/>
  <c r="N46" i="19" s="1"/>
  <c r="L48" i="19"/>
  <c r="N48" i="19" s="1"/>
  <c r="L49" i="19"/>
  <c r="N49" i="19" s="1"/>
  <c r="L50" i="19"/>
  <c r="N50" i="19" s="1"/>
  <c r="L51" i="19"/>
  <c r="N51" i="19" s="1"/>
  <c r="L43" i="19"/>
  <c r="N43" i="19" s="1"/>
  <c r="L42" i="19"/>
  <c r="N42" i="19" s="1"/>
  <c r="L41" i="19"/>
  <c r="L39" i="19"/>
  <c r="N39" i="19" s="1"/>
  <c r="L38" i="19"/>
  <c r="N38" i="19" s="1"/>
  <c r="L37" i="19"/>
  <c r="N37" i="19" s="1"/>
  <c r="L33" i="19"/>
  <c r="N33" i="19" s="1"/>
  <c r="L32" i="19"/>
  <c r="N32" i="19" s="1"/>
  <c r="L31" i="19"/>
  <c r="N31" i="19" s="1"/>
  <c r="L26" i="19"/>
  <c r="N26" i="19" s="1"/>
  <c r="L27" i="19"/>
  <c r="N27" i="19" s="1"/>
  <c r="L28" i="19"/>
  <c r="N28" i="19" s="1"/>
  <c r="L29" i="19"/>
  <c r="N29" i="19" s="1"/>
  <c r="N141" i="19" l="1"/>
  <c r="N143" i="19" s="1"/>
  <c r="L143" i="19"/>
  <c r="N41" i="19"/>
  <c r="L22" i="19"/>
  <c r="N22" i="19" s="1"/>
  <c r="M143" i="19" l="1"/>
  <c r="D14" i="19"/>
  <c r="I165" i="19"/>
  <c r="N116" i="19"/>
  <c r="N114" i="19"/>
  <c r="L55" i="19" l="1"/>
  <c r="N117" i="19" l="1"/>
  <c r="L117" i="19"/>
  <c r="N55" i="19"/>
  <c r="D13" i="19" l="1"/>
  <c r="M117" i="19"/>
  <c r="I163" i="19"/>
  <c r="J5" i="19" l="1"/>
  <c r="D8" i="19" s="1"/>
  <c r="N121" i="19" l="1"/>
  <c r="N140" i="19" s="1"/>
  <c r="M140" i="19" s="1"/>
  <c r="D15" i="19" l="1"/>
  <c r="I167" i="19"/>
  <c r="L25" i="19"/>
  <c r="N25" i="19" s="1"/>
  <c r="L63" i="19" l="1"/>
  <c r="L110" i="19" s="1"/>
  <c r="N63" i="19"/>
  <c r="B25" i="9"/>
  <c r="N110" i="19" l="1"/>
  <c r="D12" i="19" s="1"/>
  <c r="M63" i="19"/>
  <c r="I161" i="19" l="1"/>
  <c r="I173" i="19" s="1"/>
  <c r="M110" i="19"/>
</calcChain>
</file>

<file path=xl/comments1.xml><?xml version="1.0" encoding="utf-8"?>
<comments xmlns="http://schemas.openxmlformats.org/spreadsheetml/2006/main">
  <authors>
    <author>yslee2373</author>
  </authors>
  <commentList>
    <comment ref="F142" authorId="0" shapeId="0">
      <text>
        <r>
          <rPr>
            <b/>
            <sz val="9"/>
            <color indexed="81"/>
            <rFont val="Tahoma"/>
            <family val="2"/>
          </rPr>
          <t>yslee2373: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드롭박스</t>
        </r>
      </text>
    </comment>
  </commentList>
</comments>
</file>

<file path=xl/sharedStrings.xml><?xml version="1.0" encoding="utf-8"?>
<sst xmlns="http://schemas.openxmlformats.org/spreadsheetml/2006/main" count="810" uniqueCount="616">
  <si>
    <t>식</t>
    <phoneticPr fontId="7" type="noConversion"/>
  </si>
  <si>
    <t>항목</t>
    <phoneticPr fontId="7" type="noConversion"/>
  </si>
  <si>
    <t>수량</t>
    <phoneticPr fontId="7" type="noConversion"/>
  </si>
  <si>
    <t>유저</t>
    <phoneticPr fontId="7" type="noConversion"/>
  </si>
  <si>
    <t>견적일자</t>
    <phoneticPr fontId="7" type="noConversion"/>
  </si>
  <si>
    <t>담당자</t>
    <phoneticPr fontId="7" type="noConversion"/>
  </si>
  <si>
    <t>제안사</t>
    <phoneticPr fontId="7" type="noConversion"/>
  </si>
  <si>
    <t>견적담당</t>
    <phoneticPr fontId="7" type="noConversion"/>
  </si>
  <si>
    <t>[ 단위 : 원, 부가세 별도 ]</t>
    <phoneticPr fontId="7" type="noConversion"/>
  </si>
  <si>
    <t>팩스/문자</t>
    <phoneticPr fontId="1" type="noConversion"/>
  </si>
  <si>
    <t>회계관리</t>
    <phoneticPr fontId="1" type="noConversion"/>
  </si>
  <si>
    <t>업체명</t>
    <phoneticPr fontId="7" type="noConversion"/>
  </si>
  <si>
    <t>견적명</t>
    <phoneticPr fontId="7" type="noConversion"/>
  </si>
  <si>
    <t>영업센터</t>
    <phoneticPr fontId="7" type="noConversion"/>
  </si>
  <si>
    <t>영업담당</t>
    <phoneticPr fontId="7" type="noConversion"/>
  </si>
  <si>
    <t>견적번호</t>
    <phoneticPr fontId="7" type="noConversion"/>
  </si>
  <si>
    <t>사양</t>
    <phoneticPr fontId="7" type="noConversion"/>
  </si>
  <si>
    <t>단가</t>
    <phoneticPr fontId="7" type="noConversion"/>
  </si>
  <si>
    <t>단위</t>
    <phoneticPr fontId="7" type="noConversion"/>
  </si>
  <si>
    <t>표준금액</t>
    <phoneticPr fontId="7" type="noConversion"/>
  </si>
  <si>
    <t>비  고</t>
    <phoneticPr fontId="7" type="noConversion"/>
  </si>
  <si>
    <t>탐색기팩</t>
    <phoneticPr fontId="1" type="noConversion"/>
  </si>
  <si>
    <t>1. 상기 견적가는 V.A.T. 별도입니다.</t>
    <phoneticPr fontId="7" type="noConversion"/>
  </si>
  <si>
    <t>2. 본 견적사항 이외의 추가사항은 별도 협의가 필요합니다.</t>
    <phoneticPr fontId="7" type="noConversion"/>
  </si>
  <si>
    <t>※ 아마란스10 모바일은 안드로이드 버전 8.0 이상 지원합니다.</t>
    <phoneticPr fontId="1" type="noConversion"/>
  </si>
  <si>
    <t>스토리지 요금제</t>
    <phoneticPr fontId="1" type="noConversion"/>
  </si>
  <si>
    <t>홍길동 과장 (010 - 0000 - 0000)</t>
    <phoneticPr fontId="1" type="noConversion"/>
  </si>
  <si>
    <t>솔루션영업본부 솔루션영업 0Unit</t>
    <phoneticPr fontId="1" type="noConversion"/>
  </si>
  <si>
    <t>금액</t>
    <phoneticPr fontId="7" type="noConversion"/>
  </si>
  <si>
    <t>D/C</t>
    <phoneticPr fontId="7" type="noConversion"/>
  </si>
  <si>
    <t>원챔버</t>
    <phoneticPr fontId="1" type="noConversion"/>
  </si>
  <si>
    <t>기본</t>
    <phoneticPr fontId="1" type="noConversion"/>
  </si>
  <si>
    <t>하기와 같이 견적합니다. (부가세 별도)</t>
    <phoneticPr fontId="7" type="noConversion"/>
  </si>
  <si>
    <t>납품기일</t>
    <phoneticPr fontId="0" type="Hiragana"/>
  </si>
  <si>
    <t>별도 협의 후 결정</t>
    <phoneticPr fontId="0" type="Hiragana"/>
  </si>
  <si>
    <t>지불조건</t>
    <phoneticPr fontId="0" type="Hiragana"/>
  </si>
  <si>
    <t>유효기간</t>
    <phoneticPr fontId="0" type="Hiragana"/>
  </si>
  <si>
    <t>서비스장소</t>
    <phoneticPr fontId="0" type="Hiragana"/>
  </si>
  <si>
    <t>더존 D-Cloud 센터</t>
    <phoneticPr fontId="0" type="Hiragana"/>
  </si>
  <si>
    <t>(귀중)</t>
    <phoneticPr fontId="1" type="noConversion"/>
  </si>
  <si>
    <r>
      <rPr>
        <sz val="18"/>
        <rFont val="[더존] 본문체 50"/>
        <family val="3"/>
        <charset val="129"/>
      </rPr>
      <t>134-81-08473 (주)더존비즈온</t>
    </r>
    <r>
      <rPr>
        <sz val="18"/>
        <rFont val="[더존] 본문체 30"/>
        <family val="3"/>
        <charset val="129"/>
      </rPr>
      <t xml:space="preserve">  /  강원도 춘천시 남산면 버들1길 130
대표이사 김 용 우 (직인생략)</t>
    </r>
    <phoneticPr fontId="1" type="noConversion"/>
  </si>
  <si>
    <t>Amaranth 10 Cloud 견적</t>
    <phoneticPr fontId="7" type="noConversion"/>
  </si>
  <si>
    <t>Enterprise
Business Platform
(EBP)</t>
    <phoneticPr fontId="1" type="noConversion"/>
  </si>
  <si>
    <t>*매입(고은) :  반품불가, 할인불가</t>
  </si>
  <si>
    <t>양식제작</t>
    <phoneticPr fontId="1" type="noConversion"/>
  </si>
  <si>
    <t>식</t>
    <phoneticPr fontId="0" type="Hiragana"/>
  </si>
  <si>
    <t>항목</t>
    <phoneticPr fontId="7" type="noConversion"/>
  </si>
  <si>
    <t>단가</t>
    <phoneticPr fontId="7" type="noConversion"/>
  </si>
  <si>
    <t>단위</t>
    <phoneticPr fontId="7" type="noConversion"/>
  </si>
  <si>
    <t>표준금액</t>
    <phoneticPr fontId="7" type="noConversion"/>
  </si>
  <si>
    <t>D/C</t>
    <phoneticPr fontId="7" type="noConversion"/>
  </si>
  <si>
    <t>금액</t>
    <phoneticPr fontId="7" type="noConversion"/>
  </si>
  <si>
    <t>비  고</t>
    <phoneticPr fontId="7" type="noConversion"/>
  </si>
  <si>
    <t>식</t>
    <phoneticPr fontId="0" type="Hiragana"/>
  </si>
  <si>
    <t>[ 단위 : 원, 부가세 별도 ]</t>
    <phoneticPr fontId="7" type="noConversion"/>
  </si>
  <si>
    <t>수량</t>
    <phoneticPr fontId="7" type="noConversion"/>
  </si>
  <si>
    <t>회</t>
    <phoneticPr fontId="1" type="noConversion"/>
  </si>
  <si>
    <t>회</t>
    <phoneticPr fontId="1" type="noConversion"/>
  </si>
  <si>
    <t>별도협의</t>
    <phoneticPr fontId="1" type="noConversion"/>
  </si>
  <si>
    <t>법인추가</t>
    <phoneticPr fontId="0" type="Hiragana"/>
  </si>
  <si>
    <t>1개 법인 추가당</t>
    <phoneticPr fontId="1" type="noConversion"/>
  </si>
  <si>
    <t>식</t>
    <phoneticPr fontId="0" type="Hiragana"/>
  </si>
  <si>
    <t>기본</t>
    <phoneticPr fontId="1" type="noConversion"/>
  </si>
  <si>
    <t>모바일자금관리</t>
  </si>
  <si>
    <t>그룹 재무 제표</t>
  </si>
  <si>
    <t>금융 서비스 연동</t>
  </si>
  <si>
    <t>자동 전표 처리</t>
  </si>
  <si>
    <t>외부시스템 연동 ( API 및 EXCEL 연동 )</t>
    <phoneticPr fontId="1" type="noConversion"/>
  </si>
  <si>
    <t>식</t>
    <phoneticPr fontId="0" type="Hiragana"/>
  </si>
  <si>
    <t>옵션</t>
    <phoneticPr fontId="0" type="Hiragana"/>
  </si>
  <si>
    <t>인사 관리</t>
    <phoneticPr fontId="1" type="noConversion"/>
  </si>
  <si>
    <t>기본</t>
    <phoneticPr fontId="0" type="Hiragana"/>
  </si>
  <si>
    <t>근태 리더기 연동</t>
    <phoneticPr fontId="1" type="noConversion"/>
  </si>
  <si>
    <t>인사근태 확장형</t>
    <phoneticPr fontId="1" type="noConversion"/>
  </si>
  <si>
    <t>에스원, 쉴더스, KT텔레캅</t>
    <phoneticPr fontId="1" type="noConversion"/>
  </si>
  <si>
    <t>옵션</t>
    <phoneticPr fontId="0" type="Hiragana"/>
  </si>
  <si>
    <t>예산 관리</t>
    <phoneticPr fontId="1" type="noConversion"/>
  </si>
  <si>
    <t>기본</t>
    <phoneticPr fontId="0" type="Hiragana"/>
  </si>
  <si>
    <t>출장복명</t>
  </si>
  <si>
    <t>공익법인예산장부</t>
  </si>
  <si>
    <t>옵션</t>
    <phoneticPr fontId="1" type="noConversion"/>
  </si>
  <si>
    <t>EBP</t>
    <phoneticPr fontId="1" type="noConversion"/>
  </si>
  <si>
    <t>영업관리</t>
  </si>
  <si>
    <t>구매자재관리</t>
  </si>
  <si>
    <t>생산관리</t>
  </si>
  <si>
    <t>외주관리</t>
  </si>
  <si>
    <t>원가관리</t>
  </si>
  <si>
    <t>기본</t>
    <phoneticPr fontId="1" type="noConversion"/>
  </si>
  <si>
    <t>옵션</t>
    <phoneticPr fontId="1" type="noConversion"/>
  </si>
  <si>
    <t>온라인쇼핑몰관리</t>
  </si>
  <si>
    <t>모바일 물류관리
유통 및 제조</t>
    <phoneticPr fontId="1" type="noConversion"/>
  </si>
  <si>
    <t>옵션</t>
    <phoneticPr fontId="1" type="noConversion"/>
  </si>
  <si>
    <t>구매자재
모듈</t>
    <phoneticPr fontId="1" type="noConversion"/>
  </si>
  <si>
    <t>생산
모듈</t>
    <phoneticPr fontId="1" type="noConversion"/>
  </si>
  <si>
    <t>UC 확장팩</t>
    <phoneticPr fontId="1" type="noConversion"/>
  </si>
  <si>
    <t>UC 단독팩</t>
    <phoneticPr fontId="1" type="noConversion"/>
  </si>
  <si>
    <t>문서유통</t>
    <phoneticPr fontId="1" type="noConversion"/>
  </si>
  <si>
    <t>HTML 양식제작</t>
    <phoneticPr fontId="1" type="noConversion"/>
  </si>
  <si>
    <t>기본엔진</t>
    <phoneticPr fontId="1" type="noConversion"/>
  </si>
  <si>
    <t>문서유통 연계 기술지원료</t>
    <phoneticPr fontId="1" type="noConversion"/>
  </si>
  <si>
    <t>연말정산 유저 사용료</t>
    <phoneticPr fontId="1" type="noConversion"/>
  </si>
  <si>
    <t>기본 SSL인증서</t>
    <phoneticPr fontId="1" type="noConversion"/>
  </si>
  <si>
    <t>멀티 SSL인증서</t>
    <phoneticPr fontId="1" type="noConversion"/>
  </si>
  <si>
    <t>월납</t>
    <phoneticPr fontId="1" type="noConversion"/>
  </si>
  <si>
    <t>연납</t>
    <phoneticPr fontId="1" type="noConversion"/>
  </si>
  <si>
    <t>ERP 모듈 도입시 전자결재, 일정, 원피스, 원챔버 파일저장 기능 제공
법인 1개 기본 제공 (UC 회사 추가도 하나의 법인에 해당)</t>
    <phoneticPr fontId="1" type="noConversion"/>
  </si>
  <si>
    <t>금융서비스 연동 (기초정보 / 전표,이체처리)</t>
    <phoneticPr fontId="1" type="noConversion"/>
  </si>
  <si>
    <t>가용자금 흐름, 자금손익, 자금관리 서비스</t>
    <phoneticPr fontId="1" type="noConversion"/>
  </si>
  <si>
    <t>그룹 재무제표 (기초정보 / 그룹재무제표)</t>
    <phoneticPr fontId="1" type="noConversion"/>
  </si>
  <si>
    <t>예산편성, 예산집행, 예산장부
[임직원 업무관리 활성화] 예산집행관리</t>
    <phoneticPr fontId="1" type="noConversion"/>
  </si>
  <si>
    <t>판매계획관리, 수금관리, 견적관리, 주문관리, 출고관리, 매출마감관리, 여신/채권관리, 출고의뢰/검사관리, 수출선적관리, 자동환율관리
[엑셀임포트] 판매계획, 견적, 주문, 출고, 수금, 여신한도, 채권기초/조정</t>
    <phoneticPr fontId="1" type="noConversion"/>
  </si>
  <si>
    <r>
      <t>입고, 청구/품의, 채무, 발주, 매입마감/미착정산배부, 지급관리, 입고의뢰/검사관리, 수입선적관리, 수입제비용관리, 자동환율관리</t>
    </r>
    <r>
      <rPr>
        <sz val="13"/>
        <rFont val="[더존] 본문체 30"/>
        <family val="3"/>
        <charset val="129"/>
      </rPr>
      <t xml:space="preserve">
[엑셀임포트] 청구요청등록, 발주, 입고, 지급, 채무기초, 생산입/출고, 외주입/출고</t>
    </r>
    <phoneticPr fontId="1" type="noConversion"/>
  </si>
  <si>
    <t>생산기초정보, 생산계획/생산지시/생산실적관리, BOM관리, MPS/MRP, 공정수불관리, 자재청구관리, 엑셀임포트(생산)
[엑셀임포트] BOM등록, 생산계획/지시/입고/출고등록</t>
    <phoneticPr fontId="1" type="noConversion"/>
  </si>
  <si>
    <t>외주기초정보, 외주발주관리, 외주마감관리, 공정외주관리, 품목외주관리
[엑셀임포트] 외주단가등록, 외주입고등록, 외주출고등록</t>
    <phoneticPr fontId="1" type="noConversion"/>
  </si>
  <si>
    <t>원가기초정보관리, 원가배부기준관리, 제조원가계산, 제조원가현황,
관리항목별단계배부</t>
    <phoneticPr fontId="1" type="noConversion"/>
  </si>
  <si>
    <t xml:space="preserve">기본제공 : 100GB
용량추가 : 1Set (100GB) </t>
    <phoneticPr fontId="1" type="noConversion"/>
  </si>
  <si>
    <t>구분</t>
    <phoneticPr fontId="1" type="noConversion"/>
  </si>
  <si>
    <t>- 법정의무교육은 고객사별 서비스 
   가입 절차 필요</t>
    <phoneticPr fontId="0" type="Hiragana"/>
  </si>
  <si>
    <t>- 멀티법인 재무제표 통합 조회</t>
    <phoneticPr fontId="0" type="Hiragana"/>
  </si>
  <si>
    <t>메일,게시판, 업무관리, 메신저, 모바일그룹웨어
Amaranth 10 APP, ONEFFICE APP, 멀린APP</t>
    <phoneticPr fontId="1" type="noConversion"/>
  </si>
  <si>
    <t>Windows / MacOS 탐색기 기반 ONECHAMBER 드라이브</t>
    <phoneticPr fontId="1" type="noConversion"/>
  </si>
  <si>
    <t>- Finder UX 기반 사용자 문서관리 
  인터페이스 제공</t>
    <phoneticPr fontId="1" type="noConversion"/>
  </si>
  <si>
    <t>비  고</t>
    <phoneticPr fontId="7" type="noConversion"/>
  </si>
  <si>
    <t>별도협의</t>
    <phoneticPr fontId="1" type="noConversion"/>
  </si>
  <si>
    <t>메일을 사용하는 유저 (*UC 확장팩 구매 시 사용 가능)</t>
    <phoneticPr fontId="1" type="noConversion"/>
  </si>
  <si>
    <t>SSL인증서</t>
    <phoneticPr fontId="1" type="noConversion"/>
  </si>
  <si>
    <t>50유저 이하</t>
  </si>
  <si>
    <t>100유저 이하</t>
  </si>
  <si>
    <t>150유저 이하</t>
  </si>
  <si>
    <t>300유저 이하</t>
  </si>
  <si>
    <t>500유저 이하</t>
  </si>
  <si>
    <t>501유저 이상</t>
  </si>
  <si>
    <t>노무관리</t>
    <phoneticPr fontId="1" type="noConversion"/>
  </si>
  <si>
    <t>전문가</t>
    <phoneticPr fontId="1" type="noConversion"/>
  </si>
  <si>
    <t>사용자</t>
    <phoneticPr fontId="1" type="noConversion"/>
  </si>
  <si>
    <t>메일</t>
    <phoneticPr fontId="1" type="noConversion"/>
  </si>
  <si>
    <t>팩스/문자 120만포인트</t>
    <phoneticPr fontId="1" type="noConversion"/>
  </si>
  <si>
    <t>팩스/문자 240만포인트</t>
    <phoneticPr fontId="1" type="noConversion"/>
  </si>
  <si>
    <t>팩스/문자 360만포인트</t>
    <phoneticPr fontId="1" type="noConversion"/>
  </si>
  <si>
    <t>팩스/문자 600만포인트</t>
    <phoneticPr fontId="1" type="noConversion"/>
  </si>
  <si>
    <t>노무관리(휴램프로)</t>
    <phoneticPr fontId="1" type="noConversion"/>
  </si>
  <si>
    <t>최대 50명 등록 가능</t>
    <phoneticPr fontId="1" type="noConversion"/>
  </si>
  <si>
    <t>최대 100명 등록 가능</t>
    <phoneticPr fontId="1" type="noConversion"/>
  </si>
  <si>
    <t>최대 150명 등록 가능</t>
    <phoneticPr fontId="1" type="noConversion"/>
  </si>
  <si>
    <t>최대 300명 등록 가능</t>
    <phoneticPr fontId="1" type="noConversion"/>
  </si>
  <si>
    <t>최대 500명 등록 가능</t>
    <phoneticPr fontId="1" type="noConversion"/>
  </si>
  <si>
    <t>500명 이상 등록 인원 별도 협의</t>
    <phoneticPr fontId="1" type="noConversion"/>
  </si>
  <si>
    <t>인증서</t>
    <phoneticPr fontId="1" type="noConversion"/>
  </si>
  <si>
    <t>회계 + UC 기본 교육비총 구축회수 4회 (방문 4회)</t>
  </si>
  <si>
    <t>인사 + UC 기본 교육비총 구축회수 4회 (방문 4회)</t>
  </si>
  <si>
    <t>영업 + UC 기본 교육비총 구축회수 4회 (방문 4회)</t>
  </si>
  <si>
    <t>구매 + UC 기본 교육비총 구축회수 4회 (방문 4회)</t>
  </si>
  <si>
    <t>외주관리 교육비총 구축횟수 2회 (방문 2회)</t>
  </si>
  <si>
    <t>원가관리 교육비총 구축횟수 2회 (방문 2회)</t>
  </si>
  <si>
    <t>모바일 물류관리
유통 및 제조 교육비총 구축횟수 2회 (방문 2회)</t>
  </si>
  <si>
    <t>온라인 쇼핑몰 구축/교육비총 구축횟수 1회 (방문 1회)</t>
  </si>
  <si>
    <t>UC 확장팩 교육비총 구축횟수 4회 (방문 4회)</t>
  </si>
  <si>
    <t>UC 단독팩 교육비총 구축횟수 6회 (방문 6회)</t>
  </si>
  <si>
    <t>ERP10 연동 구축비</t>
  </si>
  <si>
    <t>별도협의</t>
    <phoneticPr fontId="1" type="noConversion"/>
  </si>
  <si>
    <t>대표메일</t>
    <phoneticPr fontId="1" type="noConversion"/>
  </si>
  <si>
    <t>무상</t>
    <phoneticPr fontId="1" type="noConversion"/>
  </si>
  <si>
    <t>별도협의</t>
    <phoneticPr fontId="1" type="noConversion"/>
  </si>
  <si>
    <t>- 1년 단위 갱신
- 두 품목 중 한 품목 발주 필수
- 멀티 인증서의 경우 최소 발주 수량 2EA</t>
    <phoneticPr fontId="1" type="noConversion"/>
  </si>
  <si>
    <t>예산
모듈</t>
    <phoneticPr fontId="0" type="Hiragana"/>
  </si>
  <si>
    <t>인사
모듈</t>
    <phoneticPr fontId="0" type="Hiragana"/>
  </si>
  <si>
    <t>회계
모듈</t>
    <phoneticPr fontId="0" type="Hiragana"/>
  </si>
  <si>
    <t>영업
모듈</t>
    <phoneticPr fontId="0" type="Hiragana"/>
  </si>
  <si>
    <t>추가</t>
    <phoneticPr fontId="1" type="noConversion"/>
  </si>
  <si>
    <t>식</t>
    <phoneticPr fontId="0" type="Hiragana"/>
  </si>
  <si>
    <t xml:space="preserve">- 예 : 임직원 100유저 금액 1,250,000원
   (50 * 13,000 + 50 * 12,000) </t>
    <phoneticPr fontId="1" type="noConversion"/>
  </si>
  <si>
    <t>- 온라인쇼핑몰관리 교육비 발주 필수</t>
    <phoneticPr fontId="1" type="noConversion"/>
  </si>
  <si>
    <t>교비회계 재무제표관리</t>
    <phoneticPr fontId="1" type="noConversion"/>
  </si>
  <si>
    <t>중소기업 구매목표관리</t>
    <phoneticPr fontId="1" type="noConversion"/>
  </si>
  <si>
    <t>예산회계 자율통제관리</t>
    <phoneticPr fontId="1" type="noConversion"/>
  </si>
  <si>
    <t>FoEX 교육비</t>
    <phoneticPr fontId="1" type="noConversion"/>
  </si>
  <si>
    <t>DX 교육비</t>
    <phoneticPr fontId="1" type="noConversion"/>
  </si>
  <si>
    <t>51유저-100유저</t>
    <phoneticPr fontId="1" type="noConversion"/>
  </si>
  <si>
    <t>101유저-200유저</t>
    <phoneticPr fontId="1" type="noConversion"/>
  </si>
  <si>
    <t>200유저 초과</t>
    <phoneticPr fontId="1" type="noConversion"/>
  </si>
  <si>
    <t>1유저-200유저</t>
    <phoneticPr fontId="1" type="noConversion"/>
  </si>
  <si>
    <t>200유저 초과</t>
    <phoneticPr fontId="1" type="noConversion"/>
  </si>
  <si>
    <t>50유저 초과</t>
    <phoneticPr fontId="1" type="noConversion"/>
  </si>
  <si>
    <t>11유저-50유저</t>
    <phoneticPr fontId="1" type="noConversion"/>
  </si>
  <si>
    <t>1유저-10유저</t>
    <phoneticPr fontId="1" type="noConversion"/>
  </si>
  <si>
    <t>옵션</t>
    <phoneticPr fontId="1" type="noConversion"/>
  </si>
  <si>
    <t>대표메일
10유저 이하</t>
    <phoneticPr fontId="1" type="noConversion"/>
  </si>
  <si>
    <t>대표메일
10유저-20유저 이하</t>
    <phoneticPr fontId="1" type="noConversion"/>
  </si>
  <si>
    <t>대표메일
20유저 이상</t>
    <phoneticPr fontId="1" type="noConversion"/>
  </si>
  <si>
    <t>유저</t>
    <phoneticPr fontId="0" type="Hiragana"/>
  </si>
  <si>
    <t>- 유저당 (11유저부터 과금)
- 발주 시 10유저까지는 0원 발주</t>
    <phoneticPr fontId="1" type="noConversion"/>
  </si>
  <si>
    <t>UC
모듈</t>
    <phoneticPr fontId="1" type="noConversion"/>
  </si>
  <si>
    <t>- 무상 제공이여도 발주 필수</t>
    <phoneticPr fontId="1" type="noConversion"/>
  </si>
  <si>
    <t>사 용 료   월 납    총 계</t>
    <phoneticPr fontId="1" type="noConversion"/>
  </si>
  <si>
    <t>할인 불가 여부</t>
    <phoneticPr fontId="1" type="noConversion"/>
  </si>
  <si>
    <t>발주 시 참고 사항</t>
    <phoneticPr fontId="1" type="noConversion"/>
  </si>
  <si>
    <t>*매입(휴램프로) : 반품불가, 할인불가</t>
  </si>
  <si>
    <t>구분</t>
    <phoneticPr fontId="1" type="noConversion"/>
  </si>
  <si>
    <t>생산 + UC 기본 교육비총 구축회수 4회 (방문 4회)</t>
    <phoneticPr fontId="1" type="noConversion"/>
  </si>
  <si>
    <t>연말정산을 사용하는 유저</t>
    <phoneticPr fontId="1" type="noConversion"/>
  </si>
  <si>
    <t>- 예 :  전문가 15유저 금액 월 700,000원 
    (10 * 50,000원 + 5 * 40,000원)</t>
    <phoneticPr fontId="1" type="noConversion"/>
  </si>
  <si>
    <t>[ 4. 사용료 ]</t>
    <phoneticPr fontId="7" type="noConversion"/>
  </si>
  <si>
    <t xml:space="preserve"> 기본 SSL 인증서
SECTIGO Basic WildCard
- 한개의 도메인 사용시 적용
- 한개의 도메인을 하나의 기본 SSL인증서로 사용 가능</t>
    <phoneticPr fontId="1" type="noConversion"/>
  </si>
  <si>
    <t xml:space="preserve"> 멀티 SSL 인증서
SECTIGO Basic WildCard + Single Card
- 두개 이상의 도메인 사용시 적용 (최소 발주 수량 2EA)
- 두개 이상의 도메인을 하나의 멀티 SSL인증서로 사용 가능</t>
    <phoneticPr fontId="1" type="noConversion"/>
  </si>
  <si>
    <t xml:space="preserve"> 기본 SSL 인증서
SECTIGO Basic WildCard
- 한개의 도메인 사용시 적용
- 한개의 도메인을 하나의 기본 SSL인증서로 사용 가능</t>
  </si>
  <si>
    <t>최대 50명 등록 가능</t>
  </si>
  <si>
    <t>월</t>
    <phoneticPr fontId="7" type="noConversion"/>
  </si>
  <si>
    <t>모바일
물류</t>
    <phoneticPr fontId="1" type="noConversion"/>
  </si>
  <si>
    <t>옵션</t>
    <phoneticPr fontId="1" type="noConversion"/>
  </si>
  <si>
    <t>- 모바일 물류관리 유통 및 제조 교육비 발주 필수
- 해당 품목 단독 발주 불가</t>
    <phoneticPr fontId="1" type="noConversion"/>
  </si>
  <si>
    <t>대표메일 ID 10유저 이하</t>
  </si>
  <si>
    <t>무상</t>
    <phoneticPr fontId="1" type="noConversion"/>
  </si>
  <si>
    <t>대표메일 ID 20유저 이하</t>
  </si>
  <si>
    <t>대표메일 ID 20유저 초과</t>
  </si>
  <si>
    <t>별도협의</t>
    <phoneticPr fontId="1" type="noConversion"/>
  </si>
  <si>
    <t>대표메일</t>
    <phoneticPr fontId="1" type="noConversion"/>
  </si>
  <si>
    <t>무상</t>
    <phoneticPr fontId="1" type="noConversion"/>
  </si>
  <si>
    <t>최대 100명 등록 가능</t>
  </si>
  <si>
    <t>최대 150명 등록 가능</t>
  </si>
  <si>
    <t>최대 300명 등록 가능</t>
  </si>
  <si>
    <t>최대 500명 등록 가능</t>
  </si>
  <si>
    <t>500명 이상 등록 인원 별도 협의</t>
  </si>
  <si>
    <t>전문가 유저 사용료</t>
    <phoneticPr fontId="1" type="noConversion"/>
  </si>
  <si>
    <t>사용자 유저 사용료</t>
    <phoneticPr fontId="1" type="noConversion"/>
  </si>
  <si>
    <t>메일 유저 사용료</t>
    <phoneticPr fontId="1" type="noConversion"/>
  </si>
  <si>
    <t>공통</t>
    <phoneticPr fontId="1" type="noConversion"/>
  </si>
  <si>
    <t>기수 연동</t>
  </si>
  <si>
    <t>식</t>
    <phoneticPr fontId="1" type="noConversion"/>
  </si>
  <si>
    <t>UC</t>
    <phoneticPr fontId="1" type="noConversion"/>
  </si>
  <si>
    <t>UC API</t>
    <phoneticPr fontId="1" type="noConversion"/>
  </si>
  <si>
    <t>기술 지원</t>
    <phoneticPr fontId="1" type="noConversion"/>
  </si>
  <si>
    <t>시스템</t>
    <phoneticPr fontId="1" type="noConversion"/>
  </si>
  <si>
    <t>시스템공통 API</t>
    <phoneticPr fontId="1" type="noConversion"/>
  </si>
  <si>
    <t>회사 / 사업장 / 부서/ 사원 / 거래처 / 프로젝트</t>
  </si>
  <si>
    <t>회계</t>
    <phoneticPr fontId="1" type="noConversion"/>
  </si>
  <si>
    <t>회사 / 계정과목 / 사업장 / 부서 / 사원 / 프로젝트 / 거래처 /관리항목 조회</t>
  </si>
  <si>
    <t>조건부무상</t>
    <phoneticPr fontId="1" type="noConversion"/>
  </si>
  <si>
    <t>자동전표처리데이터 / 매입매출자동전표데이터</t>
  </si>
  <si>
    <t>국세청세금계산서스크래핑 결과조회 / 카드사스크래핑 및 CMS카드 승인조회 / 은행스크래핑 및 CMS계좌거래내역 조회</t>
  </si>
  <si>
    <t>인사</t>
    <phoneticPr fontId="1" type="noConversion"/>
  </si>
  <si>
    <t>회사 / 사업장 / 부서 / 프로젝트 / 사원 / 관리항목 조회</t>
  </si>
  <si>
    <t>증명서 신청</t>
  </si>
  <si>
    <t>급여 및 그밖의 소득 전표 API</t>
    <phoneticPr fontId="1" type="noConversion"/>
  </si>
  <si>
    <t>소득자 등록 / 조회 / 변경 / 삭제, 소득자료 단건입력 / 삭제</t>
  </si>
  <si>
    <t>급여대상자 사용자 정의 그태집계 조회, 정산연차 조회 등</t>
  </si>
  <si>
    <t>예산</t>
    <phoneticPr fontId="1" type="noConversion"/>
  </si>
  <si>
    <t>회사 / 사업장 / 부서 / 사원 / 프로젝트 / 거래처 / 기수 조회</t>
  </si>
  <si>
    <t>물류</t>
    <phoneticPr fontId="1" type="noConversion"/>
  </si>
  <si>
    <t>회사 / 사업장 /부서 /사원 /프로젝트 / 거래처 / 품목 / 공정 / BOM / SET구성 /품목단가 / 물류시스템환경설정 / 검사유형 / 불량유형 / 품목별검사</t>
  </si>
  <si>
    <t>주문정보 / 출고정보 / 출고검사 /수출선적 / 수금 / 선수금/ 매출마감 등</t>
  </si>
  <si>
    <t>청구요청 / 발주정보 / 입고정보 / 입고의뢰 / 수입선적 / 지급정보 / 매입마감 / 생산입출고/ 외주입출고 / 재고이동 등</t>
  </si>
  <si>
    <t>공정경로정보 / 작업순서 / 생산품목 / E-BOM / 생산지시정보 /생산실적정보 / 외주발주정보 등</t>
  </si>
  <si>
    <t>추가교육 (1회/4시간)</t>
    <phoneticPr fontId="1" type="noConversion"/>
  </si>
  <si>
    <t>- 스마트증빙 (법인형) 고객 발주 시 
    무상 제공이여도 NSM10 등록 필수</t>
    <phoneticPr fontId="1" type="noConversion"/>
  </si>
  <si>
    <t>스마트증빙</t>
    <phoneticPr fontId="1" type="noConversion"/>
  </si>
  <si>
    <r>
      <t>기초정보</t>
    </r>
    <r>
      <rPr>
        <sz val="14"/>
        <color theme="1"/>
        <rFont val="MS Gothic"/>
        <family val="3"/>
        <charset val="128"/>
      </rPr>
      <t>・</t>
    </r>
    <r>
      <rPr>
        <sz val="14"/>
        <color theme="1"/>
        <rFont val="[더존] 본문체 30"/>
        <family val="3"/>
        <charset val="129"/>
      </rPr>
      <t>자료수집, 통장, 전자세금계산서, 카드, 현금영수증</t>
    </r>
    <phoneticPr fontId="1" type="noConversion"/>
  </si>
  <si>
    <t>라이선스</t>
    <phoneticPr fontId="1" type="noConversion"/>
  </si>
  <si>
    <t>교육비</t>
    <phoneticPr fontId="1" type="noConversion"/>
  </si>
  <si>
    <t>합계(VAT 별도)</t>
    <phoneticPr fontId="1" type="noConversion"/>
  </si>
  <si>
    <t>교육비</t>
    <phoneticPr fontId="1" type="noConversion"/>
  </si>
  <si>
    <t>구분</t>
  </si>
  <si>
    <t>항목</t>
  </si>
  <si>
    <t>ERP</t>
  </si>
  <si>
    <t>회계</t>
  </si>
  <si>
    <t>회계관리 교육비</t>
  </si>
  <si>
    <t>예산</t>
  </si>
  <si>
    <t> 예산관리 교육비 (영리) </t>
  </si>
  <si>
    <t> 예산관리 교육비 (비영리) </t>
  </si>
  <si>
    <t>인사</t>
  </si>
  <si>
    <t> 인사관리 교육비 </t>
  </si>
  <si>
    <t>물류</t>
  </si>
  <si>
    <t>영업관리 교육비</t>
  </si>
  <si>
    <t>구매관리 교육비</t>
  </si>
  <si>
    <t>수출 교육비</t>
  </si>
  <si>
    <t>수입 교육비</t>
  </si>
  <si>
    <t>생산</t>
  </si>
  <si>
    <t>생산관리 교육비</t>
  </si>
  <si>
    <t>외주관리 교육비</t>
  </si>
  <si>
    <t>원가관리 교육비</t>
  </si>
  <si>
    <t>UC 확장팩</t>
  </si>
  <si>
    <t>사양</t>
  </si>
  <si>
    <t>금액</t>
  </si>
  <si>
    <t>비고</t>
  </si>
  <si>
    <t>FoEX 교육</t>
  </si>
  <si>
    <t>기초세팅 교육 : 2회 </t>
  </si>
  <si>
    <t>관리자 교육 : 2회 </t>
  </si>
  <si>
    <t>기초세팅 교육 : 1회 </t>
  </si>
  <si>
    <t>기초세팅 교육 : 1회, 관리자 교육 : 1회 / 총 2회 </t>
  </si>
  <si>
    <t>- 수출 제외</t>
  </si>
  <si>
    <t>- 수입 제외</t>
  </si>
  <si>
    <t>관리자 교육 : 1회</t>
  </si>
  <si>
    <t>기초세팅 교육 : 1회, 관리자 교육 : 1회 / 총 2회</t>
  </si>
  <si>
    <t>- API 연동시 FoEX 교육 불가 (방문 교육만 가능)</t>
  </si>
  <si>
    <t>- 수출/수입 포함시 관리자 교육 각 1회씩 추가
   (FoEX 교육 : 50만원 / 방문 교육 : 100만원)</t>
    <phoneticPr fontId="1" type="noConversion"/>
  </si>
  <si>
    <t>- 사업장별 교육시 비용 별도</t>
    <phoneticPr fontId="1" type="noConversion"/>
  </si>
  <si>
    <t>- 사업장별 교육시 비용 별도</t>
    <phoneticPr fontId="1" type="noConversion"/>
  </si>
  <si>
    <t>- 사업장별 교육시 비용 별도</t>
    <phoneticPr fontId="1" type="noConversion"/>
  </si>
  <si>
    <t>- 생산관리 선 도입 필요
- 사업장별 교육비 별도</t>
    <phoneticPr fontId="1" type="noConversion"/>
  </si>
  <si>
    <t>- 생산관리 선 도입 필요
- 사업장별 교육비 별도</t>
    <phoneticPr fontId="1" type="noConversion"/>
  </si>
  <si>
    <t>"교육비 시트에서 품목 확인"</t>
    <phoneticPr fontId="1" type="noConversion"/>
  </si>
  <si>
    <t>SmartA 및 iCUBE 마이그레이션</t>
    <phoneticPr fontId="1" type="noConversion"/>
  </si>
  <si>
    <t>결제조건 : 세금계산서 발행 후 7일 이내 납부</t>
    <phoneticPr fontId="1" type="noConversion"/>
  </si>
  <si>
    <t>세금계산서 발행시기 : 과금개시일 기준 매년 발행</t>
    <phoneticPr fontId="1" type="noConversion"/>
  </si>
  <si>
    <t>세금계산서 발행시기 : 과금개시일 기준 매월 발행</t>
    <phoneticPr fontId="1" type="noConversion"/>
  </si>
  <si>
    <t xml:space="preserve">세금계산서 발행시기 : 당월 방문 횟수 매월 말일 </t>
    <phoneticPr fontId="1" type="noConversion"/>
  </si>
  <si>
    <t>자산
모듈</t>
    <phoneticPr fontId="1" type="noConversion"/>
  </si>
  <si>
    <t>자산 관리</t>
    <phoneticPr fontId="1" type="noConversion"/>
  </si>
  <si>
    <t>플랜갤러리, 구매관리, 검수관리, 대금지급관리, 자산등록관리, 자산실사관리, 자산기초환경설정, 개인자산실사</t>
    <phoneticPr fontId="1" type="noConversion"/>
  </si>
  <si>
    <t>3. 상기 서비스는 ㈜더존비즈온 D-클라우드 센터 이용약관을 따릅니다.</t>
    <phoneticPr fontId="1" type="noConversion"/>
  </si>
  <si>
    <t>세금계산서 발행시기 : 계약시 100% 발행</t>
    <phoneticPr fontId="1" type="noConversion"/>
  </si>
  <si>
    <t>결제조건 : 세금계산서 발행 후 7일 이내 납부</t>
    <phoneticPr fontId="1" type="noConversion"/>
  </si>
  <si>
    <t>결제조건 : 청구 후 익월 10일 이내 납부</t>
    <phoneticPr fontId="1" type="noConversion"/>
  </si>
  <si>
    <t>원문공개</t>
    <phoneticPr fontId="1" type="noConversion"/>
  </si>
  <si>
    <t xml:space="preserve">open.go.kr 원문공개 (비영리형)  </t>
    <phoneticPr fontId="1" type="noConversion"/>
  </si>
  <si>
    <t>식</t>
    <phoneticPr fontId="1" type="noConversion"/>
  </si>
  <si>
    <t>CRM 사용자(임직원) 유저 사용료</t>
    <phoneticPr fontId="1" type="noConversion"/>
  </si>
  <si>
    <t>CRM 사용자(임직원)용 유저 라이선스</t>
    <phoneticPr fontId="1" type="noConversion"/>
  </si>
  <si>
    <t>다우오피스
마이그레이션
툴</t>
    <phoneticPr fontId="1" type="noConversion"/>
  </si>
  <si>
    <t>전자결재 라이선스</t>
    <phoneticPr fontId="1" type="noConversion"/>
  </si>
  <si>
    <t>다우오피스 전자결재 마이그레이션 툴 사용을 위한 라이선스</t>
    <phoneticPr fontId="1" type="noConversion"/>
  </si>
  <si>
    <t>식</t>
    <phoneticPr fontId="1" type="noConversion"/>
  </si>
  <si>
    <t>전자결재 1만건당 연동비</t>
    <phoneticPr fontId="1" type="noConversion"/>
  </si>
  <si>
    <t>1만건당 연동비</t>
    <phoneticPr fontId="1" type="noConversion"/>
  </si>
  <si>
    <t>게시판 라이선스</t>
    <phoneticPr fontId="1" type="noConversion"/>
  </si>
  <si>
    <t>다우오피스 게시판 마이그레이션 툴 사용을 위한 라이선스</t>
    <phoneticPr fontId="1" type="noConversion"/>
  </si>
  <si>
    <t>게시판 1천건당 연동비</t>
    <phoneticPr fontId="1" type="noConversion"/>
  </si>
  <si>
    <t>1천건당 연동비</t>
    <phoneticPr fontId="1" type="noConversion"/>
  </si>
  <si>
    <t>CRM</t>
    <phoneticPr fontId="1" type="noConversion"/>
  </si>
  <si>
    <t>고객관리, 영업활동관리, 영업관리, 목표관리, 현황관리. CRM기초정보설정</t>
    <phoneticPr fontId="1" type="noConversion"/>
  </si>
  <si>
    <t>- 회계관리 도입시 회계처리 가능
- CRM 유저 사용료 구매 필요</t>
    <phoneticPr fontId="1" type="noConversion"/>
  </si>
  <si>
    <t>- 우리, 신한, 농협, 하나, 기업, 국민, 
   부산, 경남</t>
    <phoneticPr fontId="0" type="Hiragana"/>
  </si>
  <si>
    <t>회계공통 API(조회)</t>
    <phoneticPr fontId="1" type="noConversion"/>
  </si>
  <si>
    <t>외부연동용 자동전표처리 API(조회, 등록, 삭제)</t>
    <phoneticPr fontId="1" type="noConversion"/>
  </si>
  <si>
    <t>증빙데이터조회 API(조회)</t>
    <phoneticPr fontId="1" type="noConversion"/>
  </si>
  <si>
    <t>회계원장조회 API(조회)</t>
    <phoneticPr fontId="1" type="noConversion"/>
  </si>
  <si>
    <t>인사공통 API</t>
    <phoneticPr fontId="1" type="noConversion"/>
  </si>
  <si>
    <t>인사정보등록 API</t>
    <phoneticPr fontId="1" type="noConversion"/>
  </si>
  <si>
    <t xml:space="preserve">입사처리 / 퇴사처리 / 사원 이미지 조회 / 사원상세정보 / 사원상세정보 수정  / 책정임금조회 </t>
    <phoneticPr fontId="0" type="Hiragana"/>
  </si>
  <si>
    <t>인사기록카드 API</t>
    <phoneticPr fontId="1" type="noConversion"/>
  </si>
  <si>
    <t>사원상세정보 /사원이미지 /
인사기록카드 [추가정보] 탭 조회, 입력, 수정, 삭제 /
인사기록카드 [조회사항] 탭 조회</t>
    <phoneticPr fontId="0" type="Hiragana"/>
  </si>
  <si>
    <t>증명서 API</t>
    <phoneticPr fontId="1" type="noConversion"/>
  </si>
  <si>
    <t>상용직 급여 API</t>
    <phoneticPr fontId="1" type="noConversion"/>
  </si>
  <si>
    <t>일용직 급여 API</t>
    <phoneticPr fontId="1" type="noConversion"/>
  </si>
  <si>
    <t>그밖의 소득 API</t>
    <phoneticPr fontId="1" type="noConversion"/>
  </si>
  <si>
    <t>근태정보 API</t>
    <phoneticPr fontId="1" type="noConversion"/>
  </si>
  <si>
    <t>근태결과집계 API</t>
    <phoneticPr fontId="1" type="noConversion"/>
  </si>
  <si>
    <t>연차/보상/대체휴가 API</t>
    <phoneticPr fontId="1" type="noConversion"/>
  </si>
  <si>
    <t>예산공통 API(조회)</t>
    <phoneticPr fontId="1" type="noConversion"/>
  </si>
  <si>
    <t>결의서연동(예산) API(조회, 등록, 삭제)</t>
    <phoneticPr fontId="1" type="noConversion"/>
  </si>
  <si>
    <t>물류공통 API(조회, 등록, 삭제)</t>
    <phoneticPr fontId="1" type="noConversion"/>
  </si>
  <si>
    <t>영업관리 API(조회, 등록, 삭제)</t>
    <phoneticPr fontId="1" type="noConversion"/>
  </si>
  <si>
    <t>구매자재관리 API(조회, 등록, 삭제)</t>
    <phoneticPr fontId="1" type="noConversion"/>
  </si>
  <si>
    <t>생산외주관리 API(조회, 등록, 삭제)</t>
    <phoneticPr fontId="1" type="noConversion"/>
  </si>
  <si>
    <t>한글과컴퓨터 웹문서 기안 프로그램 설치비
※ 웹한글기안기 라이선스 외부 구매 후 기안기 연동 필요 
    고객에 대한  설치비(유/무상 전체)</t>
    <phoneticPr fontId="1" type="noConversion"/>
  </si>
  <si>
    <t>모바일 ForMe</t>
    <phoneticPr fontId="0" type="Hiragana"/>
  </si>
  <si>
    <t>항목</t>
    <phoneticPr fontId="1" type="noConversion"/>
  </si>
  <si>
    <t>사양</t>
    <phoneticPr fontId="1" type="noConversion"/>
  </si>
  <si>
    <t>단가</t>
    <phoneticPr fontId="1" type="noConversion"/>
  </si>
  <si>
    <t>Amaranth 10
 ONE AI</t>
    <phoneticPr fontId="1" type="noConversion"/>
  </si>
  <si>
    <t>25요금제(연납)</t>
    <phoneticPr fontId="1" type="noConversion"/>
  </si>
  <si>
    <t>55만 Credit 제공(월)</t>
  </si>
  <si>
    <t>50요금제(연납)</t>
    <phoneticPr fontId="1" type="noConversion"/>
  </si>
  <si>
    <t>110만 Credit 제공(월)</t>
  </si>
  <si>
    <t>75요금제(연납)</t>
    <phoneticPr fontId="1" type="noConversion"/>
  </si>
  <si>
    <t>165만 Credit 제공(월)</t>
  </si>
  <si>
    <t>9,000,00</t>
    <phoneticPr fontId="1" type="noConversion"/>
  </si>
  <si>
    <t>100 요금제(연납)</t>
    <phoneticPr fontId="1" type="noConversion"/>
  </si>
  <si>
    <t>220만 Credit 제공(월)</t>
  </si>
  <si>
    <t>200 요금제(연납)</t>
    <phoneticPr fontId="1" type="noConversion"/>
  </si>
  <si>
    <t>440만 Credit 제공(월)</t>
  </si>
  <si>
    <t>300 요금제(연납)</t>
    <phoneticPr fontId="1" type="noConversion"/>
  </si>
  <si>
    <t>660만 Credit 제공(월)</t>
  </si>
  <si>
    <t>25요금제(월납)</t>
    <phoneticPr fontId="1" type="noConversion"/>
  </si>
  <si>
    <t>50요금제(월납)</t>
  </si>
  <si>
    <t>75요금제(월납)</t>
  </si>
  <si>
    <t>100 요금제(월납)</t>
  </si>
  <si>
    <t>200 요금제(월납)</t>
  </si>
  <si>
    <t>300 요금제(월납)</t>
  </si>
  <si>
    <t>구 분</t>
    <phoneticPr fontId="7" type="noConversion"/>
  </si>
  <si>
    <t>항목</t>
    <phoneticPr fontId="7" type="noConversion"/>
  </si>
  <si>
    <t>사양</t>
    <phoneticPr fontId="7" type="noConversion"/>
  </si>
  <si>
    <t>단가</t>
    <phoneticPr fontId="7" type="noConversion"/>
  </si>
  <si>
    <t>수량</t>
    <phoneticPr fontId="7" type="noConversion"/>
  </si>
  <si>
    <t>단위</t>
    <phoneticPr fontId="7" type="noConversion"/>
  </si>
  <si>
    <t>표준금액</t>
    <phoneticPr fontId="7" type="noConversion"/>
  </si>
  <si>
    <t>D/C</t>
    <phoneticPr fontId="7" type="noConversion"/>
  </si>
  <si>
    <t>금액</t>
    <phoneticPr fontId="7" type="noConversion"/>
  </si>
  <si>
    <t>비  고</t>
    <phoneticPr fontId="7" type="noConversion"/>
  </si>
  <si>
    <t>ONE AI
사용료</t>
    <phoneticPr fontId="1" type="noConversion"/>
  </si>
  <si>
    <t>Amaranth 10
 ONE AI</t>
    <phoneticPr fontId="0" type="Hiragana"/>
  </si>
  <si>
    <t>ONE AI 사용료 총  계</t>
    <phoneticPr fontId="1" type="noConversion"/>
  </si>
  <si>
    <t xml:space="preserve">[ 5. ONE AI 사용료] </t>
    <phoneticPr fontId="7" type="noConversion"/>
  </si>
  <si>
    <t>- 기업당 / 회사 단위로 크레딧 제공
- 매월 약정 금액에 따른 사용량 제공
   되며 해당 월 사용량 미소진 시 소멸</t>
    <phoneticPr fontId="1" type="noConversion"/>
  </si>
  <si>
    <t>할인 불가</t>
    <phoneticPr fontId="1" type="noConversion"/>
  </si>
  <si>
    <t>년</t>
    <phoneticPr fontId="1" type="noConversion"/>
  </si>
  <si>
    <t>ONE AI 사용료(연납)</t>
    <phoneticPr fontId="1" type="noConversion"/>
  </si>
  <si>
    <t>세금계산서 발행시기 : 과금개시일 기준 매년 발행</t>
    <phoneticPr fontId="1" type="noConversion"/>
  </si>
  <si>
    <t>ONE AI 사용료
(연납)</t>
    <phoneticPr fontId="0" type="Hiragana"/>
  </si>
  <si>
    <t>"ONE AI 시트에서
고객이 원하는 요금제를 
항목부터 단가 붙여넣기"</t>
    <phoneticPr fontId="1" type="noConversion"/>
  </si>
  <si>
    <t>ONE AI 월닙으로 수주 시 단위
(년) 표기 -&gt; (월) 표기로 변경 필수</t>
    <phoneticPr fontId="1" type="noConversion"/>
  </si>
  <si>
    <t>예실대비현황 API(조회)</t>
    <phoneticPr fontId="0" type="Hiragana"/>
  </si>
  <si>
    <t>예실대비현황조회</t>
    <phoneticPr fontId="0" type="Hiragana"/>
  </si>
  <si>
    <t>최대 400명 등록 가능</t>
    <phoneticPr fontId="1" type="noConversion"/>
  </si>
  <si>
    <t>예금주실명조회 서비스</t>
    <phoneticPr fontId="0" type="Hiragana"/>
  </si>
  <si>
    <t>은행, 계좌번호, 예금주 유효성 체크</t>
    <phoneticPr fontId="0" type="Hiragana"/>
  </si>
  <si>
    <t>- 자동전표처리 옵션 모듈 구매시 
   무상제공(0원 수주 등록 필수)
- API만 필요한 경우에도 자동전표
   처리 옵션 모듈 선도입 필요</t>
    <phoneticPr fontId="0" type="Hiragana"/>
  </si>
  <si>
    <t>산학협력단 재무제표관리</t>
    <phoneticPr fontId="0" type="Hiragana"/>
  </si>
  <si>
    <t>산학협력단회계처리규칙을 적용 받는 재무제표 및 부속명세서
예/결산서 8종, 재무제표 부속명세서 22본 제공</t>
    <phoneticPr fontId="1" type="noConversion"/>
  </si>
  <si>
    <t>설치연동비</t>
    <phoneticPr fontId="0" type="Hiragana"/>
  </si>
  <si>
    <t>외부
UC
옵션</t>
    <phoneticPr fontId="1" type="noConversion"/>
  </si>
  <si>
    <t xml:space="preserve">[ 6. 외부 옵션] </t>
    <phoneticPr fontId="7" type="noConversion"/>
  </si>
  <si>
    <t>외부 옵션  총  계</t>
    <phoneticPr fontId="1" type="noConversion"/>
  </si>
  <si>
    <r>
      <t xml:space="preserve">
■ ONE AI 월납 수주 시 
ONE AI 사용료(월납)으로 변경
세금계산서 발행시기 : 과금개시일 기준 매월 발행 으로 변경
※ 라이선스 매출에 대해서는 아래 예시와 같이 고객사의 협의에 따라 변경 가능
■ 방식1
라이선스의 경우 100% 발행
[표기방법]
- 세금계산서 발행시기 : 계약시 100% 발행 
- 결제조건 : 세금계산서 발행 후 7일 이내 납부
■ 방식2
라이선스의 경우 100% 발행
납부 금액에 대한 </t>
    </r>
    <r>
      <rPr>
        <sz val="18"/>
        <color rgb="FF0070C0"/>
        <rFont val="[더존] 본문체 30"/>
        <family val="3"/>
        <charset val="129"/>
      </rPr>
      <t>비율</t>
    </r>
    <r>
      <rPr>
        <sz val="18"/>
        <color theme="5" tint="-0.499984740745262"/>
        <rFont val="[더존] 본문체 30"/>
        <family val="3"/>
        <charset val="129"/>
      </rPr>
      <t xml:space="preserve">은 고객사 협의 내용에 따라 </t>
    </r>
    <r>
      <rPr>
        <sz val="18"/>
        <color rgb="FF0070C0"/>
        <rFont val="[더존] 본문체 30"/>
        <family val="3"/>
        <charset val="129"/>
      </rPr>
      <t>변경 가능</t>
    </r>
    <r>
      <rPr>
        <sz val="18"/>
        <color theme="5" tint="-0.499984740745262"/>
        <rFont val="[더존] 본문체 30"/>
        <family val="3"/>
        <charset val="129"/>
      </rPr>
      <t xml:space="preserve">
[표기방법] 
- 세금계산서 발행시기 : 계약시 100% 발행
- 결제조건 : </t>
    </r>
    <r>
      <rPr>
        <sz val="18"/>
        <color rgb="FF0070C0"/>
        <rFont val="[더존] 본문체 30"/>
        <family val="3"/>
        <charset val="129"/>
      </rPr>
      <t>50%</t>
    </r>
    <r>
      <rPr>
        <sz val="18"/>
        <color theme="5" tint="-0.499984740745262"/>
        <rFont val="[더존] 본문체 30"/>
        <family val="3"/>
        <charset val="129"/>
      </rPr>
      <t xml:space="preserve"> </t>
    </r>
    <r>
      <rPr>
        <sz val="18"/>
        <color rgb="FFFF0000"/>
        <rFont val="[더존] 본문체 30"/>
        <family val="3"/>
        <charset val="129"/>
      </rPr>
      <t>계약시 7일 이내 납부</t>
    </r>
    <r>
      <rPr>
        <sz val="18"/>
        <color theme="5" tint="-0.499984740745262"/>
        <rFont val="[더존] 본문체 30"/>
        <family val="3"/>
        <charset val="129"/>
      </rPr>
      <t xml:space="preserve">  
                   </t>
    </r>
    <r>
      <rPr>
        <sz val="18"/>
        <color rgb="FF0070C0"/>
        <rFont val="[더존] 본문체 30"/>
        <family val="3"/>
        <charset val="129"/>
      </rPr>
      <t>50%</t>
    </r>
    <r>
      <rPr>
        <sz val="18"/>
        <color theme="5" tint="-0.499984740745262"/>
        <rFont val="[더존] 본문체 30"/>
        <family val="3"/>
        <charset val="129"/>
      </rPr>
      <t xml:space="preserve"> </t>
    </r>
    <r>
      <rPr>
        <sz val="18"/>
        <color rgb="FFFF0000"/>
        <rFont val="[더존] 본문체 30"/>
        <family val="3"/>
        <charset val="129"/>
      </rPr>
      <t>개통 확인서 기준 7일 이내 납부</t>
    </r>
    <r>
      <rPr>
        <sz val="18"/>
        <color theme="5" tint="-0.499984740745262"/>
        <rFont val="[더존] 본문체 30"/>
        <family val="3"/>
        <charset val="129"/>
      </rPr>
      <t xml:space="preserve">
    ※ 사용시 행 추가 필요 / 파란색 글짜 변경 가능, 빨간색 글짜 변경 불가
■ 방식3
라이선스의 경우 분할 발행
납부 금액에 대한 </t>
    </r>
    <r>
      <rPr>
        <sz val="18"/>
        <color rgb="FF0070C0"/>
        <rFont val="[더존] 본문체 30"/>
        <family val="3"/>
        <charset val="129"/>
      </rPr>
      <t>비율</t>
    </r>
    <r>
      <rPr>
        <sz val="18"/>
        <color theme="5" tint="-0.499984740745262"/>
        <rFont val="[더존] 본문체 30"/>
        <family val="3"/>
        <charset val="129"/>
      </rPr>
      <t xml:space="preserve">은 고객사 협의 내용에 따라 </t>
    </r>
    <r>
      <rPr>
        <sz val="18"/>
        <color rgb="FF0070C0"/>
        <rFont val="[더존] 본문체 30"/>
        <family val="3"/>
        <charset val="129"/>
      </rPr>
      <t xml:space="preserve">변경 가능
</t>
    </r>
    <r>
      <rPr>
        <sz val="18"/>
        <color theme="5" tint="-0.499984740745262"/>
        <rFont val="[더존] 본문체 30"/>
        <family val="3"/>
        <charset val="129"/>
      </rPr>
      <t xml:space="preserve">[표기방법]
- 세금계산서 발행시기 : 계약시 세금계산서 </t>
    </r>
    <r>
      <rPr>
        <sz val="18"/>
        <color rgb="FF0070C0"/>
        <rFont val="[더존] 본문체 30"/>
        <family val="3"/>
        <charset val="129"/>
      </rPr>
      <t>50%</t>
    </r>
    <r>
      <rPr>
        <sz val="18"/>
        <color theme="5" tint="-0.499984740745262"/>
        <rFont val="[더존] 본문체 30"/>
        <family val="3"/>
        <charset val="129"/>
      </rPr>
      <t xml:space="preserve"> 발행, 
                                   </t>
    </r>
    <r>
      <rPr>
        <sz val="18"/>
        <color rgb="FFFF0000"/>
        <rFont val="[더존] 본문체 30"/>
        <family val="3"/>
        <charset val="129"/>
      </rPr>
      <t>개통확인서 기준</t>
    </r>
    <r>
      <rPr>
        <sz val="18"/>
        <color theme="5" tint="-0.499984740745262"/>
        <rFont val="[더존] 본문체 30"/>
        <family val="3"/>
        <charset val="129"/>
      </rPr>
      <t xml:space="preserve"> </t>
    </r>
    <r>
      <rPr>
        <sz val="18"/>
        <color rgb="FF0070C0"/>
        <rFont val="[더존] 본문체 30"/>
        <family val="3"/>
        <charset val="129"/>
      </rPr>
      <t>50%</t>
    </r>
    <r>
      <rPr>
        <sz val="18"/>
        <color theme="5" tint="-0.499984740745262"/>
        <rFont val="[더존] 본문체 30"/>
        <family val="3"/>
        <charset val="129"/>
      </rPr>
      <t xml:space="preserve"> 발행
- 결제조건 : </t>
    </r>
    <r>
      <rPr>
        <sz val="18"/>
        <color rgb="FFFF0000"/>
        <rFont val="[더존] 본문체 30"/>
        <family val="3"/>
        <charset val="129"/>
      </rPr>
      <t xml:space="preserve">세금계산서 발행 후 7일 이내 납부 </t>
    </r>
    <r>
      <rPr>
        <sz val="18"/>
        <color theme="5" tint="-0.499984740745262"/>
        <rFont val="[더존] 본문체 30"/>
        <family val="3"/>
        <charset val="129"/>
      </rPr>
      <t xml:space="preserve"> 
    ※ 사용시 행 추가 필요 / 파란색 글짜 변경 가능, 빨간색 글짜 변경 불가</t>
    </r>
    <phoneticPr fontId="1" type="noConversion"/>
  </si>
  <si>
    <t>외부 옵션</t>
    <phoneticPr fontId="0" type="Hiragana"/>
  </si>
  <si>
    <t>외부 옵션</t>
    <phoneticPr fontId="1" type="noConversion"/>
  </si>
  <si>
    <t>식</t>
    <phoneticPr fontId="1" type="noConversion"/>
  </si>
  <si>
    <t>견적일로부터 30일</t>
    <phoneticPr fontId="0" type="Hiragana"/>
  </si>
  <si>
    <t>라이선스</t>
    <phoneticPr fontId="0" type="Hiragana"/>
  </si>
  <si>
    <t xml:space="preserve">교육비 </t>
    <phoneticPr fontId="0" type="Hiragana"/>
  </si>
  <si>
    <t xml:space="preserve">  라 이 선 스  총 계 (모듈 라이선스 + 연동 라이선스)</t>
    <phoneticPr fontId="1" type="noConversion"/>
  </si>
  <si>
    <t>연 동 라 이 선 스   소 계</t>
    <phoneticPr fontId="1" type="noConversion"/>
  </si>
  <si>
    <t>교 육 비   총 계</t>
    <phoneticPr fontId="1" type="noConversion"/>
  </si>
  <si>
    <t>모 듈 라 이 선 스    소 계</t>
    <phoneticPr fontId="1" type="noConversion"/>
  </si>
  <si>
    <t xml:space="preserve">※ 개통 시점부터 필요함에 따라 최초
    계약 시 라이선스와 함께 청구 
    됩니다. </t>
    <phoneticPr fontId="1" type="noConversion"/>
  </si>
  <si>
    <t>조건부무상</t>
    <phoneticPr fontId="1" type="noConversion"/>
  </si>
  <si>
    <t>조건부무상</t>
    <phoneticPr fontId="1" type="noConversion"/>
  </si>
  <si>
    <t>조건부무상</t>
    <phoneticPr fontId="1" type="noConversion"/>
  </si>
  <si>
    <t>[ Remarks / 비고사항 ]</t>
    <phoneticPr fontId="7" type="noConversion"/>
  </si>
  <si>
    <t>하기 비고사항 참조</t>
    <phoneticPr fontId="0" type="Hiragana"/>
  </si>
  <si>
    <t>4. 견적 유효기간은 견적일로 부터 30일 입니다.</t>
    <phoneticPr fontId="1" type="noConversion"/>
  </si>
  <si>
    <t>세금계산서 발행시기 : 설치 시 100% 발행</t>
    <phoneticPr fontId="1" type="noConversion"/>
  </si>
  <si>
    <t>연사용료
(연납)</t>
    <phoneticPr fontId="0" type="Hiragana"/>
  </si>
  <si>
    <t>월사용료
(월납)</t>
    <phoneticPr fontId="0" type="Hiragana"/>
  </si>
  <si>
    <t>1) 연사용료 (연납) : SSL인증서 및 연말 정산 유저 사용료</t>
    <phoneticPr fontId="1" type="noConversion"/>
  </si>
  <si>
    <t>월사용료(월납)</t>
    <phoneticPr fontId="1" type="noConversion"/>
  </si>
  <si>
    <t>연사용료(연납)</t>
    <phoneticPr fontId="1" type="noConversion"/>
  </si>
  <si>
    <t>사 용 료   연 납    총 계</t>
    <phoneticPr fontId="1" type="noConversion"/>
  </si>
  <si>
    <t>FLEX
마이그레이션
툴</t>
    <phoneticPr fontId="1" type="noConversion"/>
  </si>
  <si>
    <t>전자결재 라이선스</t>
    <phoneticPr fontId="1" type="noConversion"/>
  </si>
  <si>
    <t>FLEX 전자결재 마이그레이션 툴 사용을 위한 라이선스
※ FLEX SaaS형에 한함. 구축형은 별도 문의</t>
    <phoneticPr fontId="1" type="noConversion"/>
  </si>
  <si>
    <t>타사 마이그레이션 이관 툴 라이선스</t>
    <phoneticPr fontId="1" type="noConversion"/>
  </si>
  <si>
    <t>WEHAGO 마이그레이션 이관 툴 라이선스</t>
    <phoneticPr fontId="1" type="noConversion"/>
  </si>
  <si>
    <t>수집 된 WEHAGO 데이터 이관에 대한 연동비
※ 데이터 수집은 플랫폼사업부문 문의</t>
    <phoneticPr fontId="1" type="noConversion"/>
  </si>
  <si>
    <t>근태환경 / 근무시간 / 출결마감기준 / 신청및승인자 관리대상/ 근태
 신청서 조회, 등록, 삭제 / 개인별일자별 유연근무시간 등록, 삭제 등</t>
    <phoneticPr fontId="1" type="noConversion"/>
  </si>
  <si>
    <t>전자결재 1만건당 연동비</t>
    <phoneticPr fontId="1" type="noConversion"/>
  </si>
  <si>
    <t>35요금제(연납)</t>
    <phoneticPr fontId="1" type="noConversion"/>
  </si>
  <si>
    <t>77만 Credit 제공(월)</t>
    <phoneticPr fontId="1" type="noConversion"/>
  </si>
  <si>
    <t>35요금제(월납)</t>
    <phoneticPr fontId="1" type="noConversion"/>
  </si>
  <si>
    <t>77만 Credit 제공(월)</t>
    <phoneticPr fontId="1" type="noConversion"/>
  </si>
  <si>
    <t>웹한글기안기
V2</t>
    <phoneticPr fontId="1" type="noConversion"/>
  </si>
  <si>
    <t>100유저 미만</t>
    <phoneticPr fontId="1" type="noConversion"/>
  </si>
  <si>
    <t>200유저 미만</t>
    <phoneticPr fontId="1" type="noConversion"/>
  </si>
  <si>
    <t>200유저 이상</t>
    <phoneticPr fontId="1" type="noConversion"/>
  </si>
  <si>
    <t>비영리용 / Amaranth 10 Cloud 유저수 200유저 이상 시 사용 가능</t>
    <phoneticPr fontId="1" type="noConversion"/>
  </si>
  <si>
    <t>비영리용 / Amaranth 10 Cloud 유저수 200유저 미만 시 사용 가능</t>
    <phoneticPr fontId="1" type="noConversion"/>
  </si>
  <si>
    <t>비영리용 / Amaranth 10 Cloud 유저수 100유저 미만 시 사용 가능</t>
    <phoneticPr fontId="1" type="noConversion"/>
  </si>
  <si>
    <t>- 한컴 비영리 세그먼트 기준일 
  경우에만 구매 가능</t>
    <phoneticPr fontId="0" type="Hiragana"/>
  </si>
  <si>
    <r>
      <t>- 서비스/1식 기준(1년 약정)
-</t>
    </r>
    <r>
      <rPr>
        <sz val="14"/>
        <color theme="1"/>
        <rFont val="[더존] 본문체 30"/>
        <family val="3"/>
        <charset val="129"/>
      </rPr>
      <t xml:space="preserve"> 월단위 포인트 제공 
- 미사용 포인트는 매월 소진
- 포인트 소진 시 포인트 충전은 불가
   하며 상위 요금제 변경 필요</t>
    </r>
    <phoneticPr fontId="1" type="noConversion"/>
  </si>
  <si>
    <t>전표출력조회, 계정별원장조회(전체/프로젝트별), 거래처원장조회(잔액/원장)</t>
    <phoneticPr fontId="0" type="Hiragana"/>
  </si>
  <si>
    <t>식</t>
    <phoneticPr fontId="0" type="Hiragana"/>
  </si>
  <si>
    <t>식</t>
    <phoneticPr fontId="1" type="noConversion"/>
  </si>
  <si>
    <t>식</t>
    <phoneticPr fontId="1" type="noConversion"/>
  </si>
  <si>
    <t>- UC확장팩 선도입 필요
- 개별의 메일 유저를 조직 단위 또는 
   회사 단위로 메일 수신되는 기능</t>
    <phoneticPr fontId="1" type="noConversion"/>
  </si>
  <si>
    <t>유저</t>
    <phoneticPr fontId="0" type="Hiragana"/>
  </si>
  <si>
    <t>식</t>
    <phoneticPr fontId="0" type="Hiragana"/>
  </si>
  <si>
    <t xml:space="preserve">터치인터페이스, 시리얼 발행 및 추적 기능 지원, 출고/입고/재고/바코드/생산/검사 관리
별도 장비 권장 스펙 : PDA(PM90 LTE), 스캐너(PM3 1D/2D Scanner), 
태블릿(Galaxy Tab 셀룰러 : A7 Lite SM-T225 휴대용, A8 SM-X205 거치용), 라벨프린터(Zebra ZT411) </t>
    <phoneticPr fontId="1" type="noConversion"/>
  </si>
  <si>
    <t>UC만 단독 사용시(EBP기본엔진 및 UC확장팩 기능 제공)</t>
    <phoneticPr fontId="1" type="noConversion"/>
  </si>
  <si>
    <t>Set</t>
    <phoneticPr fontId="0" type="Hiragana"/>
  </si>
  <si>
    <t>- 2TB까지 추가 가능
- 2TB 이상은 사업부문 협의 필요</t>
    <phoneticPr fontId="1" type="noConversion"/>
  </si>
  <si>
    <t>- 유저당 / 필요 유저 수량 구매
- 전문가 유저 사용료는 CRM 권한  포함</t>
    <phoneticPr fontId="0" type="Hiragana"/>
  </si>
  <si>
    <t>온라인연동관리, 쇼핑몰엑셀관리, 온라인쇼핑몰현황 API연동(샤방넷) 및 엑셀(주문,마감) 업로드 기능 지원</t>
    <phoneticPr fontId="1" type="noConversion"/>
  </si>
  <si>
    <t>자율통제시나리오설정, 카드승인모니터링검증 등</t>
    <phoneticPr fontId="0" type="Hiragana"/>
  </si>
  <si>
    <t>구매목표비율조정, 구매목표비율현황, 기업성격관리</t>
    <phoneticPr fontId="0" type="Hiragana"/>
  </si>
  <si>
    <t>전용계좌개설신고서, 전용계좌외거래명세서 등</t>
    <phoneticPr fontId="0" type="Hiragana"/>
  </si>
  <si>
    <t>자금예산서(교비), 추가경정자금예산서(교비) 등</t>
    <phoneticPr fontId="1" type="noConversion"/>
  </si>
  <si>
    <t>모바일 출퇴근, 근무시간관리, 근태관리, 휴가관리, 급여명세서, 증명서관리 
※ 모바일 ForMe에서 제공되는 근태 신청서 : 외근, 출장, 연장근무, 연차휴가, 기타휴가</t>
    <phoneticPr fontId="0" type="Hiragana"/>
  </si>
  <si>
    <t>교대근무 시간등록, 월별근무 계획등록, 유연근무시간등록</t>
    <phoneticPr fontId="1" type="noConversion"/>
  </si>
  <si>
    <t>여비지급명세서작성, 여비지급현황</t>
    <phoneticPr fontId="1" type="noConversion"/>
  </si>
  <si>
    <t>결의서 입력 / 수정 / 삭제  
예산잔액정보조회, 전자세금계산서조회, 카드승인내역조회</t>
    <phoneticPr fontId="0" type="Hiragana"/>
  </si>
  <si>
    <t xml:space="preserve">일용직 사원등록 / 변경 / 삭제, 
일용직 지급일자 / 급여 조회 / 등록 / 삭제 </t>
    <phoneticPr fontId="1" type="noConversion"/>
  </si>
  <si>
    <t>연차 / 보상 / 대체휴가 조회 / 부여 / 회수</t>
    <phoneticPr fontId="0" type="Hiragana"/>
  </si>
  <si>
    <t>상용직 및 일용직 급여 / 퇴직급 / 그밖의 소득 분개 조회</t>
    <phoneticPr fontId="0" type="Hiragana"/>
  </si>
  <si>
    <t xml:space="preserve">급여지급일자 / 급여대상자 / 급여 조회 / 급여엑셀업로드 등록 / 삭제 / 조회 </t>
    <phoneticPr fontId="0" type="Hiragana"/>
  </si>
  <si>
    <t>- 영업, 구매자재, 생산모듈 중 1개 
   모듈 필수
- 구축/교육비 별도, 장비 별도
- 전문가 유저만 사용 가능</t>
    <phoneticPr fontId="1" type="noConversion"/>
  </si>
  <si>
    <t>지출결의/경비관리, 자동전표처리(스크랩핑 관리), 전표/장부관리, 자금관리, 결산/재무제표관리,사용자정의재무제표관리,부가가치세관리,고정자산관리,법인세관리,업무용승용차관리
[임직원 업무관리] 경비청구, 업무용승용차관리, 지출결의/경비관리/계산서</t>
    <phoneticPr fontId="1" type="noConversion"/>
  </si>
  <si>
    <t>인사관리, 근태관리, 급여관리, 사회보험관리, 그밖의소득관리, 세무관리, 법정의무교육(별도가입)
[임직원 업무관리] 근태신청, 연차촉진계획, 인사정보, 인사발령, 교육관리, 증명서 신청 및 발급</t>
    <phoneticPr fontId="1" type="noConversion"/>
  </si>
  <si>
    <t>ERP + UC + CRM + 리걸테크 + 연말정산 + 임직원업무관리 (메일제외) 
사용 유저라이선스</t>
    <phoneticPr fontId="1" type="noConversion"/>
  </si>
  <si>
    <t>UC + 연말정산 + 임직원업무관리 (메일제외) 사용 유저라이선스</t>
    <phoneticPr fontId="1" type="noConversion"/>
  </si>
  <si>
    <t>마이그레이션</t>
    <phoneticPr fontId="1" type="noConversion"/>
  </si>
  <si>
    <t>핸디
마이그레이션
툴</t>
    <phoneticPr fontId="1" type="noConversion"/>
  </si>
  <si>
    <t>전자결재 라이선스</t>
    <phoneticPr fontId="1" type="noConversion"/>
  </si>
  <si>
    <t>핸디 전자결재 마이그레이션 툴 사용을 위한 라이선스
※ 2025년 7월 기준 구축형, 8.* 버전 / 비영리 전자결재만 지원 하며, 
   버전이 다른 경우 수집 가능 여부 확인 필요</t>
    <phoneticPr fontId="1" type="noConversion"/>
  </si>
  <si>
    <t>식</t>
    <phoneticPr fontId="0" type="Hiragana"/>
  </si>
  <si>
    <t>전자결재 1만건당 연동비</t>
    <phoneticPr fontId="1" type="noConversion"/>
  </si>
  <si>
    <t>1만건당 연동비</t>
    <phoneticPr fontId="1" type="noConversion"/>
  </si>
  <si>
    <t>하이웍스
마이그레이션
툴</t>
    <phoneticPr fontId="1" type="noConversion"/>
  </si>
  <si>
    <t>하이웍스 전자결재 마이그레이션 툴 사용을 위한 라이선스
※ 하이웍스 SaaS형에 한함. 구축형은 별도 문의</t>
    <phoneticPr fontId="1" type="noConversion"/>
  </si>
  <si>
    <t>식</t>
    <phoneticPr fontId="0" type="Hiragana"/>
  </si>
  <si>
    <t>1만건당 연동비</t>
    <phoneticPr fontId="1" type="noConversion"/>
  </si>
  <si>
    <t>리걸테크 에디션
(법무법인용)</t>
    <phoneticPr fontId="1" type="noConversion"/>
  </si>
  <si>
    <t>리걸테크 전용 대시보드, 고객관리, 상담관리, 법무관리, 계약/
매출관리, 기초정보설정 + EBP 기본엔진(일정, 원피스, 원챔버, 
전자결재, 법인 1개 기본제공) 기능 제공
※ 법무법인 전용</t>
    <phoneticPr fontId="1" type="noConversion"/>
  </si>
  <si>
    <t>리걸테크 에디션
(기업법무팀용)</t>
    <phoneticPr fontId="1" type="noConversion"/>
  </si>
  <si>
    <t>리걸테크 전용 대시보드, 대시보드, 법무검토요청관리, 법무검토관리, 
위임관리, 법무관리, 인장사용관리, 기초정보설정 + EBP 기본엔진
(일정, 원피스, 원챔버, 전자결재, 법인 1개 기본제공) 기능 제공
※ 기업법무팀 전용</t>
    <phoneticPr fontId="1" type="noConversion"/>
  </si>
  <si>
    <t>- 별도의 ERP 모듈 도입 없이 
   리걸테크만 단독 사용 가능
- 회계관리 도입시 회계처리 가능
- ONE AI 요금제 필수 구매
- 구축 교육비 별도
   * 단독 4회 / 모듈 2회 기준</t>
    <phoneticPr fontId="1" type="noConversion"/>
  </si>
  <si>
    <t>- 월사용료 납부시 무상제공
- 0원 등록 필수
- 추후 유상 전환 예정(한시적 무상)</t>
    <phoneticPr fontId="1" type="noConversion"/>
  </si>
  <si>
    <t>일단위 소정근로시간 / 주단위 실근로시간 40시간 미만 근로자
근무시간 정산</t>
    <phoneticPr fontId="1" type="noConversion"/>
  </si>
  <si>
    <t>대외활동 관리</t>
    <phoneticPr fontId="1" type="noConversion"/>
  </si>
  <si>
    <t>비영리기관의 외부 강의 등 대외활동 신고관리</t>
    <phoneticPr fontId="1" type="noConversion"/>
  </si>
  <si>
    <t>식</t>
    <phoneticPr fontId="0" type="Hiragana"/>
  </si>
  <si>
    <t>식</t>
    <phoneticPr fontId="0" type="Hiragana"/>
  </si>
  <si>
    <t>기술 지원(추가)</t>
    <phoneticPr fontId="0" type="Hiragana"/>
  </si>
  <si>
    <t>UC API (조직도 연동, 전자결재, 원챔버, 일정 등록 등) 오픈 및 
비대면 기술 지원(토픽 10건 제공), 더존 커스텀 테스트 서버 제공
(최대 5User / 유지보수 미체결 시 미제공)</t>
    <phoneticPr fontId="0" type="Hiragana"/>
  </si>
  <si>
    <t>UC API 기술지원에서 기본 제공된 기술지원 토픽 건수 10건을 소진
하여 추가 기술지원이 필요한 경우(1건당 금액)</t>
    <phoneticPr fontId="0" type="Hiragana"/>
  </si>
  <si>
    <t>[ 2. 라이선스 / API 연동 ]</t>
    <phoneticPr fontId="7" type="noConversion"/>
  </si>
  <si>
    <t>[ 1. 라이선스 / 모듈 ]</t>
    <phoneticPr fontId="7" type="noConversion"/>
  </si>
  <si>
    <t>[ 3. 교육비 ]</t>
    <phoneticPr fontId="7" type="noConversion"/>
  </si>
  <si>
    <t>일/주단위 근무시간 정산</t>
    <phoneticPr fontId="1" type="noConversion"/>
  </si>
  <si>
    <t>지방출자출연기관 예산장부</t>
    <phoneticPr fontId="1" type="noConversion"/>
  </si>
  <si>
    <t xml:space="preserve">수입지출예산명세서 / 예산총괄표 </t>
    <phoneticPr fontId="0" type="Hiragana"/>
  </si>
  <si>
    <t>나온
마이그레이션
툴</t>
    <phoneticPr fontId="1" type="noConversion"/>
  </si>
  <si>
    <t>전자결재 라이선스</t>
    <phoneticPr fontId="1" type="noConversion"/>
  </si>
  <si>
    <t>전자결재 1만건당 연동비</t>
    <phoneticPr fontId="1" type="noConversion"/>
  </si>
  <si>
    <t>1만건당 연동비</t>
    <phoneticPr fontId="1" type="noConversion"/>
  </si>
  <si>
    <t>타사 - 다우오피스/FLEX/핸디/하이웍스/나온 외 데이터 이관에 대한 
연동비 (데이터 수집은 지원하지 않음)</t>
    <phoneticPr fontId="1" type="noConversion"/>
  </si>
  <si>
    <t>별도협의</t>
    <phoneticPr fontId="1" type="noConversion"/>
  </si>
  <si>
    <t>나온 전자결재 마이그레이션 툴 사용을 위한 라이선스
※ 나온 SaaS형에 한함. 구축형은 별도 문의</t>
    <phoneticPr fontId="1" type="noConversion"/>
  </si>
  <si>
    <t>1유저-50유저</t>
    <phoneticPr fontId="1" type="noConversion"/>
  </si>
  <si>
    <t>팩스/문자 60만포인트(월 5만 포인트)</t>
    <phoneticPr fontId="1" type="noConversion"/>
  </si>
  <si>
    <t>팩스/문자 60만포인트 (매월 5만 포인트 제공)</t>
    <phoneticPr fontId="0" type="Hiragana"/>
  </si>
  <si>
    <t>팩스/문자 120만포인트 (매월 10만 포인트 제공)</t>
    <phoneticPr fontId="0" type="Hiragana"/>
  </si>
  <si>
    <t>팩스/문자 240만포인트 (매월 20만 포인트 제공)</t>
    <phoneticPr fontId="0" type="Hiragana"/>
  </si>
  <si>
    <t>팩스/문자 360만포인트 (매월 30만 포인트 제공)</t>
    <phoneticPr fontId="0" type="Hiragana"/>
  </si>
  <si>
    <t>팩스/문자 600만포인트 (매월 50만 포인트 제공)</t>
    <phoneticPr fontId="0" type="Hiragana"/>
  </si>
  <si>
    <r>
      <rPr>
        <sz val="14"/>
        <color theme="5"/>
        <rFont val="[더존] 본문체 30"/>
        <family val="3"/>
        <charset val="129"/>
      </rPr>
      <t>- 서비스/1식 기준(월납)</t>
    </r>
    <r>
      <rPr>
        <sz val="14"/>
        <rFont val="[더존] 본문체 30"/>
        <family val="3"/>
        <charset val="129"/>
      </rPr>
      <t xml:space="preserve">
- 인사 라이선스 도입 필수
- 기 등록 유저의 근로계약 변경 시 
    유저 추가 구매 필요 없음
- 퇴사자의 경우 연 단위 갱신 전까지
   유저 라이선스로 카운팅되며, 연 
   단위 갱신 후 해당 라이선스 재사용
   가능 </t>
    </r>
    <phoneticPr fontId="1" type="noConversion"/>
  </si>
  <si>
    <t>자산</t>
    <phoneticPr fontId="0" type="Hiragana"/>
  </si>
  <si>
    <t>자산 API</t>
    <phoneticPr fontId="0" type="Hiragana"/>
  </si>
  <si>
    <t>자산등록 / 자산실사 / 자산 유형, 목적, 용도, 위치</t>
    <phoneticPr fontId="0" type="Hiragana"/>
  </si>
  <si>
    <t>자산</t>
  </si>
  <si>
    <t>자산관리 교육비</t>
  </si>
  <si>
    <t>- 터치인터페이스 및 바코드 장비 연동시 FoEX 교육 불가 (방문 교육만 가능)</t>
  </si>
  <si>
    <t>온라인 쇼핑몰 교육비</t>
    <phoneticPr fontId="1" type="noConversion"/>
  </si>
  <si>
    <t>"생산" 공통 필수 교육비</t>
    <phoneticPr fontId="1" type="noConversion"/>
  </si>
  <si>
    <t>UC 단독팩 교육비</t>
  </si>
  <si>
    <t>기초세팅 교육 : 2회, 관리자 교육 : 2회 / 총 4회 </t>
  </si>
  <si>
    <t>추가 교육비</t>
  </si>
  <si>
    <t>추가 교육 (방문 1회 4시간 기준)</t>
  </si>
  <si>
    <t>업무분석 2회, 중간점검 2회, 완료점검 2회</t>
    <phoneticPr fontId="1" type="noConversion"/>
  </si>
  <si>
    <t>컨설팅 구축비
(회계/인사/영업/구매자재/UC확장팩)</t>
    <phoneticPr fontId="1" type="noConversion"/>
  </si>
  <si>
    <t>방문 교육 
(설치형 / Cloud형 
동일)</t>
    <phoneticPr fontId="1" type="noConversion"/>
  </si>
  <si>
    <t> 인사근태확장형 교육비</t>
    <phoneticPr fontId="1" type="noConversion"/>
  </si>
  <si>
    <t>기초세팅 추가 교육 : 2회 </t>
    <phoneticPr fontId="1" type="noConversion"/>
  </si>
  <si>
    <t>"물류" 공통 필수 교육비</t>
    <phoneticPr fontId="1" type="noConversion"/>
  </si>
  <si>
    <t>- "물류+생산" 동시 도입시 기초세팅 교육 4회에서 3회로 조정
    (FoEX 교육 : 150만원 / 방문 교육 : 300만원)</t>
    <phoneticPr fontId="1" type="noConversion"/>
  </si>
  <si>
    <t>모바일 물류관리 교육비</t>
    <phoneticPr fontId="1" type="noConversion"/>
  </si>
  <si>
    <t>-</t>
    <phoneticPr fontId="1" type="noConversion"/>
  </si>
  <si>
    <t>영리 교육비</t>
    <phoneticPr fontId="1" type="noConversion"/>
  </si>
  <si>
    <t>CRM 교육비</t>
    <phoneticPr fontId="1" type="noConversion"/>
  </si>
  <si>
    <t>기초세팅 교육 : 1회, 관리자 교육 : 1회, 사용자 교육 1회 / 총 3회</t>
    <phoneticPr fontId="1" type="noConversion"/>
  </si>
  <si>
    <t>추가
교육</t>
    <phoneticPr fontId="1" type="noConversion"/>
  </si>
  <si>
    <t>- 선택 교육</t>
    <phoneticPr fontId="1" type="noConversion"/>
  </si>
  <si>
    <t>ONE AI 교육비 (1회)</t>
    <phoneticPr fontId="1" type="noConversion"/>
  </si>
  <si>
    <t>SET
교육비</t>
    <phoneticPr fontId="1" type="noConversion"/>
  </si>
  <si>
    <t>회계/인사 교육비
(관리모듈 기본 SET)</t>
    <phoneticPr fontId="1" type="noConversion"/>
  </si>
  <si>
    <t>생산/외주/원가 교육비
(제조/생산 기본 SET)</t>
    <phoneticPr fontId="1" type="noConversion"/>
  </si>
  <si>
    <t>생산/외주/원가/UC 확장팩 교육비
(제조/생산 확장 SET)</t>
    <phoneticPr fontId="1" type="noConversion"/>
  </si>
  <si>
    <t>영업/구매/생산/외주/원가 교육비
(제조/생산 기본 SET)</t>
    <phoneticPr fontId="1" type="noConversion"/>
  </si>
  <si>
    <t>영업/구매/생산/외주/원가
UC 확장팩 교육비
(제조/생산 확장 SET)</t>
    <phoneticPr fontId="1" type="noConversion"/>
  </si>
  <si>
    <t>회계/인사/영업/구매/생산/외주/
원가/UC 확장팩 교육비
(제조 전모듈 확장 SET)</t>
    <phoneticPr fontId="1" type="noConversion"/>
  </si>
  <si>
    <t>컨설팅</t>
    <phoneticPr fontId="1" type="noConversion"/>
  </si>
  <si>
    <t>- 요청 업무에 따라 교육비 횟수 변경</t>
    <phoneticPr fontId="1" type="noConversion"/>
  </si>
  <si>
    <t>"회계, 예산, 인사" 공통 
필수 교육비</t>
    <phoneticPr fontId="1" type="noConversion"/>
  </si>
  <si>
    <t>-</t>
    <phoneticPr fontId="1" type="noConversion"/>
  </si>
  <si>
    <t>UC</t>
    <phoneticPr fontId="1" type="noConversion"/>
  </si>
  <si>
    <t>리걸테크 에디션</t>
    <phoneticPr fontId="1" type="noConversion"/>
  </si>
  <si>
    <t>단독 교육비</t>
    <phoneticPr fontId="1" type="noConversion"/>
  </si>
  <si>
    <t>기초세팅교육 : 2회, 관리자 교육 : 2회 / 총 4회
※ ERP 및 UC확장팩 모듈 구매 없는 단독 사용 기준</t>
    <phoneticPr fontId="1" type="noConversion"/>
  </si>
  <si>
    <t>교육비</t>
    <phoneticPr fontId="1" type="noConversion"/>
  </si>
  <si>
    <t>관리자 교육 : 2회</t>
    <phoneticPr fontId="1" type="noConversion"/>
  </si>
  <si>
    <t>비영리 교육비</t>
    <phoneticPr fontId="1" type="noConversion"/>
  </si>
  <si>
    <t>기초세팅 교육 : 2회, 관리자 교육 : 2회 / 총 4회</t>
    <phoneticPr fontId="1" type="noConversion"/>
  </si>
  <si>
    <t>- CRM FoEX 교육(유상) 1:1 교육만 가능 (교육 쿠폰 사용 불가)</t>
    <phoneticPr fontId="1" type="noConversion"/>
  </si>
  <si>
    <t>ONE AI 교육비 (2회)</t>
    <phoneticPr fontId="1" type="noConversion"/>
  </si>
  <si>
    <t>ONE AI 구축교육 2회</t>
    <phoneticPr fontId="1" type="noConversion"/>
  </si>
  <si>
    <t>ONE AI 구축교육 1회</t>
    <phoneticPr fontId="1" type="noConversion"/>
  </si>
  <si>
    <t xml:space="preserve">기초세팅 교육 4회, 관리자 교육 2회 (회계 1회, 인사 1회) / 총 6회 </t>
    <phoneticPr fontId="1" type="noConversion"/>
  </si>
  <si>
    <t>회계/인사/UC 확장팩 교육비
(관리모듈 확장 SET)</t>
    <phoneticPr fontId="1" type="noConversion"/>
  </si>
  <si>
    <t xml:space="preserve">[영리형 기준]기초세팅 교육 5회, 관리자 교육 3회 (회계 1회, 인사 1회, UC확장팩 1회) / 총 8회 </t>
    <phoneticPr fontId="1" type="noConversion"/>
  </si>
  <si>
    <t>영업/구매 교육비
(물류/유통 기본 SET)</t>
    <phoneticPr fontId="1" type="noConversion"/>
  </si>
  <si>
    <t xml:space="preserve">기초세팅 교육 3회, 관리자 교육 3회 (영업
  1회, 구매 1회, 물류공통 1회) / 총 6회 </t>
    <phoneticPr fontId="1" type="noConversion"/>
  </si>
  <si>
    <t>영업/구매/UC 확장팩 교육비
(물류/유통 확장 SET)</t>
    <phoneticPr fontId="1" type="noConversion"/>
  </si>
  <si>
    <t xml:space="preserve">[영리형 기준]기초세팅 교육 4회, 관리자 교육 4회 (영업 1회, 구매 1회,물류공통1회,  UC 확장팩 1회) / 총 8회 </t>
    <phoneticPr fontId="1" type="noConversion"/>
  </si>
  <si>
    <t>- 수출/수입 포함시 관리자 교육 각 1회씩 추가
   (FoEX 교육 : 50만원 / 방문 교육 : 100만원)</t>
    <phoneticPr fontId="1" type="noConversion"/>
  </si>
  <si>
    <t xml:space="preserve">기초세팅 교육 3회, 관리자 교육 3회 (생산  2회, 제조통합 1회) / 총 6회 </t>
    <phoneticPr fontId="1" type="noConversion"/>
  </si>
  <si>
    <t>[영리형 기준]기초세팅 교육 4회, 관리자 교육 4회 (생산
  2회, 제조통합1회, UC 확장팩 1회) / 총 8회  4,000,000</t>
    <phoneticPr fontId="1" type="noConversion"/>
  </si>
  <si>
    <t xml:space="preserve">기초세팅 교육 6회, 관리자 교육 5회 (영업 1회, 구매 1회, 생산 2회, 제조통합 1회) / 총 11회 </t>
    <phoneticPr fontId="1" type="noConversion"/>
  </si>
  <si>
    <t>[영리형 기준]기초세팅 교육 7회, 관리자 교육 6회 (영업 1회, 구매 1회, 생산 2회, 제조통합 1회, UC 확장팩 1회) / 총 13회</t>
    <phoneticPr fontId="1" type="noConversion"/>
  </si>
  <si>
    <t>회계/인사/영업/구매 교육비
(물류 전모듈 기본 SET)</t>
    <phoneticPr fontId="1" type="noConversion"/>
  </si>
  <si>
    <t>기초세팅 교육 7회, 관리자 교육 5회 (회계 1회, 인사 1회, 영업 1회, 구매 1회, 물류공통 1회) / 총 12회</t>
    <phoneticPr fontId="1" type="noConversion"/>
  </si>
  <si>
    <t>- 수출/수입 포함시 관리자 교육 각 1회씩 추가
   (FoEX 교육 : 50만원 / 방문 교육 : 100만원)</t>
    <phoneticPr fontId="1" type="noConversion"/>
  </si>
  <si>
    <t>회계/인사/영업/구매
UC 확장팩 교육비
(물류 전모듈 확장 SET)</t>
    <phoneticPr fontId="1" type="noConversion"/>
  </si>
  <si>
    <t>[영리형 기준]기초세팅 교육 8회, 관리자 교육 6회 (회계 1회, 인사 1회, 영업 1회, 구매 1회, UC 확장팩 1회, 물류공통 1회) / 총 14회</t>
    <phoneticPr fontId="1" type="noConversion"/>
  </si>
  <si>
    <t>회계/인사/영업/구매/생산/외주/
원가 교육비
(제조 전모듈 기본 SET)</t>
    <phoneticPr fontId="1" type="noConversion"/>
  </si>
  <si>
    <t>기초세팅 교육 10회, 관리자 교육 7회 (회계 1회, 인사 1회, 영업 1회, 구매 1회, 생산 2회, 제조공통 1회) / 총 17회</t>
    <phoneticPr fontId="1" type="noConversion"/>
  </si>
  <si>
    <t xml:space="preserve">[영리형 기준]기초세팅 교육 11회, 관리자 교육 8회 (회계 1회, 인사 1회, 영업 1회,
  구매 1회, 생산 2회, 제조공통 1회, UC 확장팩 1회) / 총 19회 </t>
    <phoneticPr fontId="1" type="noConversion"/>
  </si>
  <si>
    <t>컨설팅 구축비
(회계/인사/UC확장팩)</t>
    <phoneticPr fontId="1" type="noConversion"/>
  </si>
  <si>
    <t>업무분석 3회, 중간점검 3회, 완료점검 3회</t>
    <phoneticPr fontId="1" type="noConversion"/>
  </si>
  <si>
    <t>- 요청 업무에 따라 교육비 횟수 변경</t>
    <phoneticPr fontId="1" type="noConversion"/>
  </si>
  <si>
    <t>컨설팅 구축비
(회계/인사/영업/구매자재/생산/
외주/원가/UC확장팩)</t>
    <phoneticPr fontId="1" type="noConversion"/>
  </si>
  <si>
    <t xml:space="preserve">   업무분석 4회, 중간점검 4회, 완료점검 4회</t>
    <phoneticPr fontId="1" type="noConversion"/>
  </si>
  <si>
    <t>- 요청 업무에 따라 교육비 횟수 변경</t>
    <phoneticPr fontId="1" type="noConversion"/>
  </si>
  <si>
    <t>언어</t>
    <phoneticPr fontId="1" type="noConversion"/>
  </si>
  <si>
    <t>영어, 중국어, 일본어 제공</t>
    <phoneticPr fontId="1" type="noConversion"/>
  </si>
  <si>
    <t>- 한국어 외 영어, 중국어, 일본어를 팩 형태로 제공</t>
    <phoneticPr fontId="0" type="Hiragana"/>
  </si>
  <si>
    <t>다국어팩</t>
    <phoneticPr fontId="0" type="Hiragana"/>
  </si>
  <si>
    <t>추가 교육비(방문 교육)</t>
    <phoneticPr fontId="1" type="noConversion"/>
  </si>
  <si>
    <t>- 예산공통 API(조회) 무상 제공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</si>
</sst>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_(* #,##0_);_(* \(#,##0\);_(* &quot;-&quot;_);_(@_)"/>
    <numFmt numFmtId="177" formatCode="yyyy&quot;년&quot;\ m&quot;월&quot;\ d&quot;일&quot;;@"/>
    <numFmt numFmtId="178" formatCode="0_);[Red]\(0\)"/>
    <numFmt numFmtId="179" formatCode="&quot;US$&quot;#,##0_);[Red]\(&quot;US$&quot;#,##0\)"/>
    <numFmt numFmtId="180" formatCode="_-* #,##0.0_-;\-* #,##0.0_-;_-* &quot;-&quot;_-;_-@_-"/>
    <numFmt numFmtId="181" formatCode="#,##0_ "/>
    <numFmt numFmtId="182" formatCode="0.0%"/>
    <numFmt numFmtId="183" formatCode="0_ "/>
  </numFmts>
  <fonts count="6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[더존] 본문체 30"/>
      <family val="3"/>
      <charset val="129"/>
    </font>
    <font>
      <sz val="12"/>
      <name val="[더존] 본문체 30"/>
      <family val="3"/>
      <charset val="129"/>
    </font>
    <font>
      <sz val="12"/>
      <color theme="1"/>
      <name val="[더존] 본문체 30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name val="[더존] 본문체 30"/>
      <family val="3"/>
      <charset val="129"/>
    </font>
    <font>
      <b/>
      <sz val="14"/>
      <name val="[더존] 본문체 30"/>
      <family val="3"/>
      <charset val="129"/>
    </font>
    <font>
      <b/>
      <sz val="18"/>
      <color rgb="FF00668A"/>
      <name val="[더존] 본문체 30"/>
      <family val="3"/>
      <charset val="129"/>
    </font>
    <font>
      <b/>
      <sz val="11"/>
      <name val="[더존] 본문체 30"/>
      <family val="3"/>
      <charset val="129"/>
    </font>
    <font>
      <b/>
      <sz val="12"/>
      <name val="[더존] 본문체 30"/>
      <family val="3"/>
      <charset val="129"/>
    </font>
    <font>
      <sz val="30"/>
      <name val="[더존] 본문체 30"/>
      <family val="3"/>
      <charset val="129"/>
    </font>
    <font>
      <b/>
      <sz val="36"/>
      <name val="[더존] 본문체 30"/>
      <family val="3"/>
      <charset val="129"/>
    </font>
    <font>
      <b/>
      <sz val="24"/>
      <name val="[더존] 본문체 30"/>
      <family val="3"/>
      <charset val="129"/>
    </font>
    <font>
      <sz val="24"/>
      <color rgb="FF0070C0"/>
      <name val="[더존] 본문체 30"/>
      <family val="3"/>
      <charset val="129"/>
    </font>
    <font>
      <sz val="12"/>
      <color rgb="FFFF0000"/>
      <name val="[더존] 본문체 30"/>
      <family val="3"/>
      <charset val="129"/>
    </font>
    <font>
      <sz val="14"/>
      <name val="[더존] 본문체 30"/>
      <family val="3"/>
      <charset val="129"/>
    </font>
    <font>
      <sz val="14"/>
      <color theme="5"/>
      <name val="[더존] 본문체 30"/>
      <family val="3"/>
      <charset val="129"/>
    </font>
    <font>
      <sz val="14"/>
      <color theme="0"/>
      <name val="[더존] 본문체 30"/>
      <family val="3"/>
      <charset val="129"/>
    </font>
    <font>
      <sz val="14"/>
      <color theme="1"/>
      <name val="[더존] 본문체 30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4"/>
      <color theme="0" tint="-0.34998626667073579"/>
      <name val="[더존] 본문체 30"/>
      <family val="3"/>
      <charset val="129"/>
    </font>
    <font>
      <sz val="12"/>
      <color theme="0"/>
      <name val="[더존] 본문체 30"/>
      <family val="3"/>
      <charset val="129"/>
    </font>
    <font>
      <sz val="15"/>
      <color theme="0"/>
      <name val="[더존] 본문체 50"/>
      <family val="3"/>
      <charset val="129"/>
    </font>
    <font>
      <sz val="15"/>
      <color indexed="9"/>
      <name val="[더존] 본문체 50"/>
      <family val="3"/>
      <charset val="129"/>
    </font>
    <font>
      <sz val="15"/>
      <color theme="1"/>
      <name val="[더존] 본문체 50"/>
      <family val="3"/>
      <charset val="129"/>
    </font>
    <font>
      <b/>
      <sz val="20"/>
      <name val="[더존] 본문체 30"/>
      <family val="3"/>
      <charset val="129"/>
    </font>
    <font>
      <b/>
      <sz val="15"/>
      <name val="[더존] 본문체 30"/>
      <family val="3"/>
      <charset val="129"/>
    </font>
    <font>
      <sz val="18"/>
      <name val="[더존] 본문체 30"/>
      <family val="3"/>
      <charset val="129"/>
    </font>
    <font>
      <sz val="18"/>
      <name val="[더존] 본문체 50"/>
      <family val="3"/>
      <charset val="129"/>
    </font>
    <font>
      <sz val="18"/>
      <color rgb="FF00668A"/>
      <name val="[더존] 본문체 50"/>
      <family val="3"/>
      <charset val="129"/>
    </font>
    <font>
      <sz val="14"/>
      <color rgb="FFFF0000"/>
      <name val="[더존] 본문체 30"/>
      <family val="3"/>
      <charset val="129"/>
    </font>
    <font>
      <sz val="13"/>
      <name val="[더존] 본문체 30"/>
      <family val="3"/>
      <charset val="129"/>
    </font>
    <font>
      <sz val="16"/>
      <name val="[더존] 본문체 30"/>
      <family val="3"/>
      <charset val="129"/>
    </font>
    <font>
      <sz val="16"/>
      <color theme="0" tint="-0.34998626667073579"/>
      <name val="[더존] 본문체 30"/>
      <family val="3"/>
      <charset val="129"/>
    </font>
    <font>
      <sz val="16"/>
      <color theme="1"/>
      <name val="[더존] 본문체 30"/>
      <family val="3"/>
      <charset val="129"/>
    </font>
    <font>
      <sz val="16"/>
      <color theme="0"/>
      <name val="[더존] 본문체 30"/>
      <family val="3"/>
      <charset val="129"/>
    </font>
    <font>
      <sz val="16"/>
      <color theme="0"/>
      <name val="[더존] 본문체 50"/>
      <family val="3"/>
      <charset val="129"/>
    </font>
    <font>
      <sz val="16"/>
      <color theme="1"/>
      <name val="[더존] 본문체 50"/>
      <family val="3"/>
      <charset val="129"/>
    </font>
    <font>
      <sz val="16"/>
      <color indexed="9"/>
      <name val="[더존] 본문체 50"/>
      <family val="3"/>
      <charset val="129"/>
    </font>
    <font>
      <b/>
      <sz val="14"/>
      <color rgb="FFFF0000"/>
      <name val="[더존] 본문체 30"/>
      <family val="3"/>
      <charset val="129"/>
    </font>
    <font>
      <b/>
      <sz val="16"/>
      <color theme="0"/>
      <name val="[더존] 본문체 30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8"/>
      <color theme="1"/>
      <name val="[더존] 본문체 30"/>
      <family val="3"/>
      <charset val="129"/>
    </font>
    <font>
      <sz val="18"/>
      <color theme="4" tint="-0.499984740745262"/>
      <name val="[더존] 본문체 30"/>
      <family val="3"/>
      <charset val="129"/>
    </font>
    <font>
      <sz val="14"/>
      <color theme="1"/>
      <name val="맑은 고딕"/>
      <family val="2"/>
      <charset val="129"/>
      <scheme val="minor"/>
    </font>
    <font>
      <sz val="14"/>
      <color theme="1"/>
      <name val="MS Gothic"/>
      <family val="3"/>
      <charset val="128"/>
    </font>
    <font>
      <sz val="18"/>
      <color theme="5" tint="-0.499984740745262"/>
      <name val="[더존] 본문체 30"/>
      <family val="3"/>
      <charset val="129"/>
    </font>
    <font>
      <sz val="18"/>
      <color rgb="FFFF0000"/>
      <name val="[더존] 본문체 30"/>
      <family val="3"/>
      <charset val="129"/>
    </font>
    <font>
      <sz val="18"/>
      <color rgb="FF0070C0"/>
      <name val="[더존] 본문체 30"/>
      <family val="3"/>
      <charset val="129"/>
    </font>
    <font>
      <b/>
      <sz val="10"/>
      <color rgb="FF000000"/>
      <name val="[더존] 본문체 30"/>
      <family val="3"/>
      <charset val="129"/>
    </font>
    <font>
      <sz val="10"/>
      <color rgb="FF000000"/>
      <name val="[더존] 본문체 30"/>
      <family val="3"/>
      <charset val="129"/>
    </font>
    <font>
      <sz val="10"/>
      <color rgb="FFFF0000"/>
      <name val="[더존] 본문체 30"/>
      <family val="3"/>
      <charset val="129"/>
    </font>
    <font>
      <b/>
      <sz val="18"/>
      <color theme="1"/>
      <name val="[더존] 본문체 30"/>
      <family val="3"/>
      <charset val="129"/>
    </font>
    <font>
      <b/>
      <sz val="16"/>
      <color theme="0" tint="-0.499984740745262"/>
      <name val="[더존] 본문체 30"/>
      <family val="3"/>
      <charset val="129"/>
    </font>
    <font>
      <sz val="10"/>
      <name val="[더존] 본문체 30"/>
      <family val="3"/>
      <charset val="129"/>
    </font>
    <font>
      <b/>
      <sz val="10"/>
      <name val="[더존] 본문체 30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5F4F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1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/>
      <right style="thin">
        <color theme="0" tint="-0.34998626667073579"/>
      </right>
      <top style="thin">
        <color theme="0"/>
      </top>
      <bottom style="thin">
        <color theme="0" tint="-0.34998626667073579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/>
      </bottom>
      <diagonal/>
    </border>
    <border>
      <left/>
      <right style="thin">
        <color theme="0" tint="-0.34998626667073579"/>
      </right>
      <top style="thin">
        <color theme="0"/>
      </top>
      <bottom/>
      <diagonal/>
    </border>
    <border>
      <left/>
      <right style="thin">
        <color theme="0" tint="-0.34998626667073579"/>
      </right>
      <top/>
      <bottom style="thin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/>
      </left>
      <right style="thin">
        <color theme="0" tint="-0.24994659260841701"/>
      </right>
      <top/>
      <bottom/>
      <diagonal/>
    </border>
    <border>
      <left style="thin">
        <color theme="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 tint="-0.24994659260841701"/>
      </top>
      <bottom/>
      <diagonal/>
    </border>
    <border>
      <left style="thin">
        <color theme="0"/>
      </left>
      <right/>
      <top/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 tint="-0.24994659260841701"/>
      </right>
      <top/>
      <bottom style="thin">
        <color theme="2" tint="-9.9948118533890809E-2"/>
      </bottom>
      <diagonal/>
    </border>
    <border>
      <left style="thin">
        <color theme="0" tint="-0.24994659260841701"/>
      </left>
      <right/>
      <top/>
      <bottom style="thin">
        <color theme="2" tint="-9.9948118533890809E-2"/>
      </bottom>
      <diagonal/>
    </border>
    <border>
      <left/>
      <right style="thin">
        <color theme="0" tint="-0.24994659260841701"/>
      </right>
      <top/>
      <bottom style="thin">
        <color theme="2" tint="-9.9948118533890809E-2"/>
      </bottom>
      <diagonal/>
    </border>
    <border>
      <left style="thin">
        <color theme="0" tint="-0.24994659260841701"/>
      </left>
      <right/>
      <top style="thin">
        <color theme="2" tint="-9.9948118533890809E-2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2" tint="-9.9948118533890809E-2"/>
      </top>
      <bottom style="thin">
        <color theme="0" tint="-0.2499465926084170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rgb="FFD0CECE"/>
      </bottom>
      <diagonal/>
    </border>
    <border>
      <left/>
      <right style="medium">
        <color rgb="FFD0CECE"/>
      </right>
      <top/>
      <bottom/>
      <diagonal/>
    </border>
    <border>
      <left style="medium">
        <color rgb="FFD0CECE"/>
      </left>
      <right/>
      <top style="medium">
        <color rgb="FFD0CECE"/>
      </top>
      <bottom/>
      <diagonal/>
    </border>
    <border>
      <left/>
      <right/>
      <top style="medium">
        <color rgb="FFD0CECE"/>
      </top>
      <bottom/>
      <diagonal/>
    </border>
    <border>
      <left/>
      <right style="medium">
        <color rgb="FFD0CECE"/>
      </right>
      <top style="medium">
        <color rgb="FFD0CECE"/>
      </top>
      <bottom/>
      <diagonal/>
    </border>
    <border>
      <left style="medium">
        <color rgb="FFD0CECE"/>
      </left>
      <right/>
      <top/>
      <bottom/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/>
      <diagonal/>
    </border>
    <border>
      <left style="thick">
        <color rgb="FF73BFFA"/>
      </left>
      <right/>
      <top/>
      <bottom/>
      <diagonal/>
    </border>
    <border>
      <left/>
      <right style="thick">
        <color rgb="FF73BFFA"/>
      </right>
      <top style="medium">
        <color rgb="FFD0CECE"/>
      </top>
      <bottom/>
      <diagonal/>
    </border>
    <border>
      <left/>
      <right style="thick">
        <color rgb="FF73BFFA"/>
      </right>
      <top/>
      <bottom style="medium">
        <color rgb="FFD0CECE"/>
      </bottom>
      <diagonal/>
    </border>
    <border>
      <left style="thick">
        <color rgb="FF73BFFA"/>
      </left>
      <right/>
      <top style="medium">
        <color rgb="FFD0CECE"/>
      </top>
      <bottom/>
      <diagonal/>
    </border>
    <border>
      <left style="medium">
        <color rgb="FFD0CECE"/>
      </left>
      <right/>
      <top style="medium">
        <color rgb="FFD0CECE"/>
      </top>
      <bottom style="medium">
        <color rgb="FFD0CECE"/>
      </bottom>
      <diagonal/>
    </border>
    <border>
      <left/>
      <right/>
      <top style="medium">
        <color rgb="FFD0CECE"/>
      </top>
      <bottom style="medium">
        <color rgb="FFD0CECE"/>
      </bottom>
      <diagonal/>
    </border>
    <border>
      <left/>
      <right style="medium">
        <color rgb="FFD0CECE"/>
      </right>
      <top style="medium">
        <color rgb="FFD0CECE"/>
      </top>
      <bottom style="medium">
        <color rgb="FFD0CECE"/>
      </bottom>
      <diagonal/>
    </border>
    <border>
      <left style="medium">
        <color rgb="FFD0CECE"/>
      </left>
      <right style="thick">
        <color rgb="FF73BFFA"/>
      </right>
      <top style="medium">
        <color rgb="FFD0CECE"/>
      </top>
      <bottom/>
      <diagonal/>
    </border>
    <border>
      <left style="thick">
        <color rgb="FF73BFFA"/>
      </left>
      <right style="medium">
        <color rgb="FFD0CECE"/>
      </right>
      <top style="medium">
        <color rgb="FFD0CECE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ck">
        <color rgb="FF73BFFA"/>
      </right>
      <top style="medium">
        <color theme="1" tint="0.499984740745262"/>
      </top>
      <bottom/>
      <diagonal/>
    </border>
    <border>
      <left style="thick">
        <color rgb="FF73BFFA"/>
      </left>
      <right/>
      <top style="medium">
        <color theme="1" tint="0.499984740745262"/>
      </top>
      <bottom/>
      <diagonal/>
    </border>
    <border>
      <left style="thick">
        <color rgb="FF73BFFA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medium">
        <color rgb="FFD0CECE"/>
      </bottom>
      <diagonal/>
    </border>
    <border>
      <left style="thick">
        <color rgb="FF73BFFA"/>
      </left>
      <right style="medium">
        <color theme="1" tint="0.499984740745262"/>
      </right>
      <top/>
      <bottom style="medium">
        <color rgb="FFD0CECE"/>
      </bottom>
      <diagonal/>
    </border>
    <border>
      <left style="medium">
        <color theme="1" tint="0.499984740745262"/>
      </left>
      <right style="medium">
        <color rgb="FFD0CECE"/>
      </right>
      <top style="medium">
        <color rgb="FFD0CECE"/>
      </top>
      <bottom/>
      <diagonal/>
    </border>
    <border>
      <left style="thick">
        <color rgb="FF73BFFA"/>
      </left>
      <right style="medium">
        <color theme="1" tint="0.499984740745262"/>
      </right>
      <top style="medium">
        <color rgb="FFD0CECE"/>
      </top>
      <bottom/>
      <diagonal/>
    </border>
    <border>
      <left style="medium">
        <color theme="1" tint="0.499984740745262"/>
      </left>
      <right style="medium">
        <color rgb="FFD0CECE"/>
      </right>
      <top/>
      <bottom/>
      <diagonal/>
    </border>
    <border>
      <left style="medium">
        <color rgb="FFD0CECE"/>
      </left>
      <right/>
      <top style="medium">
        <color rgb="FFD0CECE"/>
      </top>
      <bottom style="medium">
        <color theme="1" tint="0.499984740745262"/>
      </bottom>
      <diagonal/>
    </border>
    <border>
      <left/>
      <right/>
      <top style="medium">
        <color rgb="FFD0CECE"/>
      </top>
      <bottom style="medium">
        <color theme="1" tint="0.499984740745262"/>
      </bottom>
      <diagonal/>
    </border>
    <border>
      <left style="thick">
        <color rgb="FF73BFFA"/>
      </left>
      <right style="medium">
        <color theme="1" tint="0.499984740745262"/>
      </right>
      <top style="medium">
        <color rgb="FFD0CECE"/>
      </top>
      <bottom style="medium">
        <color theme="1" tint="0.49998474074526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D0CECE"/>
      </left>
      <right/>
      <top/>
      <bottom style="medium">
        <color rgb="FFD0CECE"/>
      </bottom>
      <diagonal/>
    </border>
    <border>
      <left/>
      <right style="medium">
        <color rgb="FFD0CECE"/>
      </right>
      <top/>
      <bottom style="medium">
        <color rgb="FFD0CECE"/>
      </bottom>
      <diagonal/>
    </border>
    <border>
      <left style="thin">
        <color theme="0"/>
      </left>
      <right style="thin">
        <color theme="0" tint="-0.24994659260841701"/>
      </right>
      <top style="thin">
        <color theme="2" tint="-9.9948118533890809E-2"/>
      </top>
      <bottom style="thin">
        <color theme="0" tint="-0.24994659260841701"/>
      </bottom>
      <diagonal/>
    </border>
    <border>
      <left/>
      <right style="medium">
        <color rgb="FFD0CECE"/>
      </right>
      <top/>
      <bottom style="medium">
        <color theme="1" tint="0.499984740745262"/>
      </bottom>
      <diagonal/>
    </border>
    <border>
      <left/>
      <right style="thick">
        <color rgb="FF73BFFA"/>
      </right>
      <top style="medium">
        <color rgb="FFD0CECE"/>
      </top>
      <bottom style="medium">
        <color rgb="FFD0CECE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ck">
        <color rgb="FF73BFFA"/>
      </left>
      <right/>
      <top style="medium">
        <color rgb="FFD0CECE"/>
      </top>
      <bottom style="medium">
        <color theme="0" tint="-0.499984740745262"/>
      </bottom>
      <diagonal/>
    </border>
    <border>
      <left/>
      <right/>
      <top style="thin">
        <color theme="2" tint="-9.9948118533890809E-2"/>
      </top>
      <bottom style="thin">
        <color theme="0" tint="-0.24994659260841701"/>
      </bottom>
      <diagonal/>
    </border>
  </borders>
  <cellStyleXfs count="10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/>
    <xf numFmtId="179" fontId="8" fillId="0" borderId="0" applyFont="0" applyFill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</cellStyleXfs>
  <cellXfs count="422">
    <xf numFmtId="0" fontId="0" fillId="0" borderId="0" xfId="0">
      <alignment vertical="center"/>
    </xf>
    <xf numFmtId="0" fontId="2" fillId="0" borderId="0" xfId="0" applyFont="1">
      <alignment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center" vertical="center"/>
    </xf>
    <xf numFmtId="0" fontId="10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9" fillId="0" borderId="1" xfId="3" applyFont="1" applyBorder="1" applyAlignment="1">
      <alignment vertical="center"/>
    </xf>
    <xf numFmtId="0" fontId="9" fillId="0" borderId="1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3" borderId="0" xfId="3" applyFont="1" applyFill="1" applyAlignment="1">
      <alignment vertical="center"/>
    </xf>
    <xf numFmtId="0" fontId="16" fillId="0" borderId="0" xfId="3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80" fontId="10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11" fillId="0" borderId="0" xfId="3" applyFont="1" applyAlignment="1">
      <alignment horizontal="left"/>
    </xf>
    <xf numFmtId="0" fontId="10" fillId="0" borderId="0" xfId="3" applyFont="1" applyAlignment="1">
      <alignment horizontal="left" vertical="center"/>
    </xf>
    <xf numFmtId="0" fontId="12" fillId="0" borderId="2" xfId="3" applyFont="1" applyBorder="1" applyAlignment="1">
      <alignment vertical="center"/>
    </xf>
    <xf numFmtId="0" fontId="10" fillId="0" borderId="2" xfId="3" applyFont="1" applyBorder="1" applyAlignment="1">
      <alignment horizontal="left" vertical="center"/>
    </xf>
    <xf numFmtId="0" fontId="9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vertical="center"/>
    </xf>
    <xf numFmtId="0" fontId="13" fillId="0" borderId="0" xfId="3" applyFont="1" applyAlignment="1">
      <alignment vertical="center"/>
    </xf>
    <xf numFmtId="181" fontId="9" fillId="0" borderId="0" xfId="3" applyNumberFormat="1" applyFont="1" applyAlignment="1">
      <alignment vertical="center"/>
    </xf>
    <xf numFmtId="41" fontId="9" fillId="0" borderId="0" xfId="1" applyFont="1" applyAlignment="1">
      <alignment vertical="center"/>
    </xf>
    <xf numFmtId="0" fontId="23" fillId="0" borderId="0" xfId="0" applyFont="1">
      <alignment vertical="center"/>
    </xf>
    <xf numFmtId="0" fontId="23" fillId="3" borderId="0" xfId="0" applyFont="1" applyFill="1">
      <alignment vertical="center"/>
    </xf>
    <xf numFmtId="14" fontId="23" fillId="0" borderId="0" xfId="0" applyNumberFormat="1" applyFont="1">
      <alignment vertical="center"/>
    </xf>
    <xf numFmtId="10" fontId="4" fillId="0" borderId="0" xfId="3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10" fontId="12" fillId="0" borderId="0" xfId="3" applyNumberFormat="1" applyFont="1" applyAlignment="1">
      <alignment horizontal="center" vertical="center"/>
    </xf>
    <xf numFmtId="41" fontId="25" fillId="6" borderId="8" xfId="1" applyFont="1" applyFill="1" applyBorder="1" applyAlignment="1">
      <alignment horizontal="right" vertical="center" wrapText="1"/>
    </xf>
    <xf numFmtId="0" fontId="9" fillId="0" borderId="0" xfId="3" applyFont="1"/>
    <xf numFmtId="0" fontId="11" fillId="0" borderId="0" xfId="3" applyFont="1"/>
    <xf numFmtId="0" fontId="9" fillId="0" borderId="0" xfId="3" applyFont="1" applyAlignment="1">
      <alignment horizontal="center"/>
    </xf>
    <xf numFmtId="0" fontId="18" fillId="0" borderId="0" xfId="3" applyFont="1" applyAlignment="1">
      <alignment horizontal="right"/>
    </xf>
    <xf numFmtId="0" fontId="4" fillId="0" borderId="0" xfId="3" applyFont="1" applyAlignment="1">
      <alignment horizontal="center" vertical="top" wrapText="1"/>
    </xf>
    <xf numFmtId="0" fontId="20" fillId="6" borderId="4" xfId="1" quotePrefix="1" applyNumberFormat="1" applyFont="1" applyFill="1" applyBorder="1" applyAlignment="1">
      <alignment horizontal="left" vertical="center" wrapText="1"/>
    </xf>
    <xf numFmtId="0" fontId="22" fillId="6" borderId="4" xfId="1" quotePrefix="1" applyNumberFormat="1" applyFont="1" applyFill="1" applyBorder="1" applyAlignment="1">
      <alignment horizontal="left" vertical="center" wrapText="1"/>
    </xf>
    <xf numFmtId="0" fontId="19" fillId="6" borderId="0" xfId="3" applyFont="1" applyFill="1" applyAlignment="1">
      <alignment vertical="center" wrapText="1"/>
    </xf>
    <xf numFmtId="0" fontId="30" fillId="0" borderId="1" xfId="3" applyFont="1" applyBorder="1" applyAlignment="1">
      <alignment vertical="center"/>
    </xf>
    <xf numFmtId="0" fontId="10" fillId="0" borderId="1" xfId="3" applyFont="1" applyBorder="1" applyAlignment="1">
      <alignment horizontal="left" vertical="center" indent="1"/>
    </xf>
    <xf numFmtId="0" fontId="9" fillId="0" borderId="1" xfId="3" applyFont="1" applyBorder="1" applyAlignment="1">
      <alignment horizontal="left" vertical="center" indent="1"/>
    </xf>
    <xf numFmtId="0" fontId="12" fillId="0" borderId="1" xfId="3" applyFont="1" applyBorder="1" applyAlignment="1">
      <alignment horizontal="left" vertical="center" indent="1"/>
    </xf>
    <xf numFmtId="0" fontId="32" fillId="0" borderId="26" xfId="3" applyFont="1" applyBorder="1" applyAlignment="1">
      <alignment horizontal="center" vertical="center"/>
    </xf>
    <xf numFmtId="0" fontId="18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0" fontId="31" fillId="0" borderId="27" xfId="3" applyFont="1" applyBorder="1" applyAlignment="1">
      <alignment horizontal="left" vertical="center" indent="1"/>
    </xf>
    <xf numFmtId="0" fontId="31" fillId="0" borderId="26" xfId="3" applyFont="1" applyBorder="1" applyAlignment="1">
      <alignment horizontal="left" vertical="center" indent="1"/>
    </xf>
    <xf numFmtId="0" fontId="21" fillId="0" borderId="0" xfId="3" applyFont="1" applyFill="1" applyAlignment="1">
      <alignment horizontal="center" vertical="center" wrapText="1"/>
    </xf>
    <xf numFmtId="0" fontId="21" fillId="0" borderId="0" xfId="3" applyFont="1" applyFill="1" applyBorder="1" applyAlignment="1">
      <alignment horizontal="center" vertical="center" wrapText="1"/>
    </xf>
    <xf numFmtId="176" fontId="21" fillId="0" borderId="0" xfId="1" applyNumberFormat="1" applyFont="1" applyFill="1" applyBorder="1" applyAlignment="1">
      <alignment vertical="center"/>
    </xf>
    <xf numFmtId="182" fontId="26" fillId="0" borderId="0" xfId="2" applyNumberFormat="1" applyFont="1" applyFill="1" applyBorder="1" applyAlignment="1">
      <alignment horizontal="center" vertical="center"/>
    </xf>
    <xf numFmtId="0" fontId="21" fillId="0" borderId="0" xfId="1" applyNumberFormat="1" applyFont="1" applyFill="1" applyBorder="1" applyAlignment="1">
      <alignment horizontal="center" vertical="center" wrapText="1"/>
    </xf>
    <xf numFmtId="0" fontId="3" fillId="0" borderId="0" xfId="3" applyFont="1" applyFill="1" applyAlignment="1">
      <alignment vertical="center"/>
    </xf>
    <xf numFmtId="0" fontId="27" fillId="0" borderId="0" xfId="3" applyFont="1" applyFill="1" applyBorder="1" applyAlignment="1">
      <alignment horizontal="center" vertical="center" wrapText="1"/>
    </xf>
    <xf numFmtId="176" fontId="28" fillId="0" borderId="0" xfId="1" applyNumberFormat="1" applyFont="1" applyFill="1" applyBorder="1" applyAlignment="1">
      <alignment vertical="center"/>
    </xf>
    <xf numFmtId="182" fontId="27" fillId="0" borderId="0" xfId="2" applyNumberFormat="1" applyFont="1" applyFill="1" applyBorder="1" applyAlignment="1" applyProtection="1">
      <alignment horizontal="center" vertical="center"/>
    </xf>
    <xf numFmtId="176" fontId="29" fillId="0" borderId="0" xfId="1" applyNumberFormat="1" applyFont="1" applyFill="1" applyBorder="1" applyAlignment="1">
      <alignment vertical="center"/>
    </xf>
    <xf numFmtId="0" fontId="28" fillId="0" borderId="0" xfId="3" applyFont="1" applyFill="1" applyBorder="1" applyAlignment="1">
      <alignment vertical="center" wrapText="1"/>
    </xf>
    <xf numFmtId="180" fontId="10" fillId="0" borderId="0" xfId="1" applyNumberFormat="1" applyFont="1" applyFill="1" applyAlignment="1">
      <alignment vertical="center"/>
    </xf>
    <xf numFmtId="10" fontId="3" fillId="0" borderId="0" xfId="3" applyNumberFormat="1" applyFont="1" applyFill="1" applyAlignment="1">
      <alignment horizontal="center" vertical="center"/>
    </xf>
    <xf numFmtId="0" fontId="10" fillId="0" borderId="0" xfId="3" applyFont="1" applyBorder="1" applyAlignment="1">
      <alignment horizontal="right" vertical="center"/>
    </xf>
    <xf numFmtId="0" fontId="10" fillId="0" borderId="0" xfId="3" applyFont="1" applyBorder="1" applyAlignment="1">
      <alignment horizontal="left" vertical="center"/>
    </xf>
    <xf numFmtId="0" fontId="12" fillId="0" borderId="0" xfId="3" applyFont="1" applyBorder="1" applyAlignment="1">
      <alignment horizontal="left" vertical="center"/>
    </xf>
    <xf numFmtId="0" fontId="12" fillId="0" borderId="0" xfId="3" applyFont="1" applyBorder="1" applyAlignment="1">
      <alignment horizontal="right" vertical="center"/>
    </xf>
    <xf numFmtId="0" fontId="31" fillId="0" borderId="26" xfId="3" applyFont="1" applyBorder="1" applyAlignment="1">
      <alignment vertical="center"/>
    </xf>
    <xf numFmtId="178" fontId="37" fillId="6" borderId="8" xfId="1" applyNumberFormat="1" applyFont="1" applyFill="1" applyBorder="1" applyAlignment="1">
      <alignment horizontal="center" vertical="center"/>
    </xf>
    <xf numFmtId="179" fontId="37" fillId="6" borderId="8" xfId="4" applyFont="1" applyFill="1" applyBorder="1" applyAlignment="1">
      <alignment horizontal="center" vertical="center"/>
    </xf>
    <xf numFmtId="176" fontId="37" fillId="6" borderId="8" xfId="4" applyNumberFormat="1" applyFont="1" applyFill="1" applyBorder="1" applyAlignment="1">
      <alignment vertical="center"/>
    </xf>
    <xf numFmtId="182" fontId="39" fillId="0" borderId="8" xfId="3" applyNumberFormat="1" applyFont="1" applyBorder="1" applyAlignment="1">
      <alignment horizontal="center" vertical="center"/>
    </xf>
    <xf numFmtId="176" fontId="37" fillId="6" borderId="8" xfId="1" applyNumberFormat="1" applyFont="1" applyFill="1" applyBorder="1" applyAlignment="1">
      <alignment vertical="center"/>
    </xf>
    <xf numFmtId="0" fontId="40" fillId="5" borderId="14" xfId="3" applyFont="1" applyFill="1" applyBorder="1" applyAlignment="1">
      <alignment horizontal="centerContinuous" vertical="center"/>
    </xf>
    <xf numFmtId="0" fontId="40" fillId="5" borderId="14" xfId="3" applyFont="1" applyFill="1" applyBorder="1" applyAlignment="1">
      <alignment horizontal="center" vertical="center"/>
    </xf>
    <xf numFmtId="176" fontId="42" fillId="9" borderId="8" xfId="1" applyNumberFormat="1" applyFont="1" applyFill="1" applyBorder="1" applyAlignment="1">
      <alignment vertical="center"/>
    </xf>
    <xf numFmtId="182" fontId="39" fillId="3" borderId="8" xfId="2" applyNumberFormat="1" applyFont="1" applyFill="1" applyBorder="1" applyAlignment="1">
      <alignment horizontal="center" vertical="center"/>
    </xf>
    <xf numFmtId="176" fontId="43" fillId="8" borderId="8" xfId="1" applyNumberFormat="1" applyFont="1" applyFill="1" applyBorder="1" applyAlignment="1">
      <alignment vertical="center"/>
    </xf>
    <xf numFmtId="182" fontId="41" fillId="8" borderId="8" xfId="2" applyNumberFormat="1" applyFont="1" applyFill="1" applyBorder="1" applyAlignment="1" applyProtection="1">
      <alignment horizontal="center" vertical="center"/>
    </xf>
    <xf numFmtId="0" fontId="44" fillId="0" borderId="0" xfId="3" applyFont="1" applyAlignment="1">
      <alignment vertical="center"/>
    </xf>
    <xf numFmtId="0" fontId="45" fillId="4" borderId="25" xfId="3" applyFont="1" applyFill="1" applyBorder="1" applyAlignment="1">
      <alignment horizontal="center" vertical="center"/>
    </xf>
    <xf numFmtId="0" fontId="45" fillId="4" borderId="28" xfId="3" applyFont="1" applyFill="1" applyBorder="1" applyAlignment="1">
      <alignment horizontal="center" vertical="center"/>
    </xf>
    <xf numFmtId="0" fontId="45" fillId="4" borderId="29" xfId="3" applyFont="1" applyFill="1" applyBorder="1" applyAlignment="1">
      <alignment horizontal="center" vertical="center"/>
    </xf>
    <xf numFmtId="0" fontId="45" fillId="4" borderId="25" xfId="3" applyFont="1" applyFill="1" applyBorder="1" applyAlignment="1">
      <alignment horizontal="center" vertical="center" wrapText="1"/>
    </xf>
    <xf numFmtId="0" fontId="45" fillId="4" borderId="28" xfId="3" applyFont="1" applyFill="1" applyBorder="1" applyAlignment="1">
      <alignment horizontal="center" vertical="center" wrapText="1"/>
    </xf>
    <xf numFmtId="0" fontId="45" fillId="4" borderId="30" xfId="3" applyFont="1" applyFill="1" applyBorder="1" applyAlignment="1">
      <alignment horizontal="center" vertical="center" wrapText="1"/>
    </xf>
    <xf numFmtId="0" fontId="19" fillId="0" borderId="8" xfId="3" quotePrefix="1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41" fontId="0" fillId="0" borderId="0" xfId="0" applyNumberFormat="1">
      <alignment vertical="center"/>
    </xf>
    <xf numFmtId="41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0" fontId="40" fillId="5" borderId="20" xfId="3" applyFont="1" applyFill="1" applyBorder="1" applyAlignment="1">
      <alignment horizontal="center" vertical="center"/>
    </xf>
    <xf numFmtId="0" fontId="37" fillId="2" borderId="15" xfId="3" applyFont="1" applyFill="1" applyBorder="1" applyAlignment="1">
      <alignment horizontal="center"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49" fillId="9" borderId="35" xfId="3" applyFont="1" applyFill="1" applyBorder="1" applyAlignment="1">
      <alignment horizontal="center" vertical="center" wrapText="1"/>
    </xf>
    <xf numFmtId="0" fontId="49" fillId="9" borderId="36" xfId="3" applyFont="1" applyFill="1" applyBorder="1" applyAlignment="1">
      <alignment horizontal="center" vertical="center" wrapText="1"/>
    </xf>
    <xf numFmtId="10" fontId="50" fillId="0" borderId="37" xfId="3" applyNumberFormat="1" applyFont="1" applyBorder="1" applyAlignment="1">
      <alignment horizontal="center" vertical="center"/>
    </xf>
    <xf numFmtId="10" fontId="50" fillId="0" borderId="38" xfId="3" quotePrefix="1" applyNumberFormat="1" applyFont="1" applyBorder="1" applyAlignment="1">
      <alignment horizontal="left" vertical="center" wrapText="1"/>
    </xf>
    <xf numFmtId="10" fontId="50" fillId="0" borderId="39" xfId="3" applyNumberFormat="1" applyFont="1" applyBorder="1" applyAlignment="1">
      <alignment horizontal="center" vertical="center"/>
    </xf>
    <xf numFmtId="10" fontId="50" fillId="0" borderId="40" xfId="3" applyNumberFormat="1" applyFont="1" applyBorder="1" applyAlignment="1">
      <alignment horizontal="center" vertical="center"/>
    </xf>
    <xf numFmtId="10" fontId="50" fillId="0" borderId="40" xfId="3" quotePrefix="1" applyNumberFormat="1" applyFont="1" applyBorder="1" applyAlignment="1">
      <alignment horizontal="left" vertical="center" wrapText="1"/>
    </xf>
    <xf numFmtId="0" fontId="50" fillId="0" borderId="39" xfId="3" applyFont="1" applyBorder="1" applyAlignment="1">
      <alignment horizontal="center"/>
    </xf>
    <xf numFmtId="0" fontId="50" fillId="0" borderId="40" xfId="3" applyFont="1" applyBorder="1" applyAlignment="1">
      <alignment horizontal="center"/>
    </xf>
    <xf numFmtId="10" fontId="3" fillId="0" borderId="37" xfId="3" applyNumberFormat="1" applyFont="1" applyBorder="1" applyAlignment="1">
      <alignment horizontal="center" vertical="center"/>
    </xf>
    <xf numFmtId="10" fontId="3" fillId="0" borderId="38" xfId="3" applyNumberFormat="1" applyFont="1" applyBorder="1" applyAlignment="1">
      <alignment horizontal="center" vertical="center"/>
    </xf>
    <xf numFmtId="10" fontId="3" fillId="0" borderId="42" xfId="3" applyNumberFormat="1" applyFont="1" applyBorder="1" applyAlignment="1">
      <alignment horizontal="center" vertical="center"/>
    </xf>
    <xf numFmtId="10" fontId="50" fillId="0" borderId="39" xfId="3" applyNumberFormat="1" applyFont="1" applyBorder="1" applyAlignment="1">
      <alignment horizontal="left" vertical="center"/>
    </xf>
    <xf numFmtId="10" fontId="50" fillId="0" borderId="41" xfId="3" applyNumberFormat="1" applyFont="1" applyBorder="1" applyAlignment="1">
      <alignment horizontal="left" vertical="center"/>
    </xf>
    <xf numFmtId="10" fontId="50" fillId="0" borderId="42" xfId="3" quotePrefix="1" applyNumberFormat="1" applyFont="1" applyBorder="1" applyAlignment="1">
      <alignment horizontal="left" vertical="center" wrapText="1"/>
    </xf>
    <xf numFmtId="10" fontId="50" fillId="0" borderId="43" xfId="3" applyNumberFormat="1" applyFont="1" applyBorder="1" applyAlignment="1">
      <alignment horizontal="left" vertical="center"/>
    </xf>
    <xf numFmtId="10" fontId="50" fillId="0" borderId="40" xfId="3" applyNumberFormat="1" applyFont="1" applyBorder="1" applyAlignment="1">
      <alignment horizontal="left" vertical="center"/>
    </xf>
    <xf numFmtId="10" fontId="50" fillId="0" borderId="44" xfId="3" applyNumberFormat="1" applyFont="1" applyBorder="1" applyAlignment="1">
      <alignment horizontal="left" vertical="center"/>
    </xf>
    <xf numFmtId="0" fontId="35" fillId="6" borderId="15" xfId="1" quotePrefix="1" applyNumberFormat="1" applyFont="1" applyFill="1" applyBorder="1" applyAlignment="1">
      <alignment horizontal="left" vertical="center" wrapText="1"/>
    </xf>
    <xf numFmtId="0" fontId="4" fillId="6" borderId="15" xfId="1" quotePrefix="1" applyNumberFormat="1" applyFont="1" applyFill="1" applyBorder="1" applyAlignment="1">
      <alignment vertical="center" wrapText="1"/>
    </xf>
    <xf numFmtId="0" fontId="28" fillId="8" borderId="5" xfId="3" applyFont="1" applyFill="1" applyBorder="1" applyAlignment="1">
      <alignment vertical="center" wrapText="1"/>
    </xf>
    <xf numFmtId="0" fontId="35" fillId="6" borderId="16" xfId="1" quotePrefix="1" applyNumberFormat="1" applyFont="1" applyFill="1" applyBorder="1" applyAlignment="1">
      <alignment horizontal="left" vertical="center" wrapText="1"/>
    </xf>
    <xf numFmtId="0" fontId="28" fillId="8" borderId="4" xfId="3" applyFont="1" applyFill="1" applyBorder="1" applyAlignment="1">
      <alignment vertical="center" wrapText="1"/>
    </xf>
    <xf numFmtId="0" fontId="37" fillId="0" borderId="51" xfId="3" quotePrefix="1" applyFont="1" applyBorder="1" applyAlignment="1">
      <alignment horizontal="center" vertical="center" wrapText="1"/>
    </xf>
    <xf numFmtId="0" fontId="37" fillId="6" borderId="47" xfId="3" applyFont="1" applyFill="1" applyBorder="1" applyAlignment="1">
      <alignment horizontal="center" vertical="center" wrapText="1"/>
    </xf>
    <xf numFmtId="41" fontId="38" fillId="6" borderId="8" xfId="1" applyFont="1" applyFill="1" applyBorder="1" applyAlignment="1">
      <alignment vertical="center" wrapText="1"/>
    </xf>
    <xf numFmtId="41" fontId="38" fillId="6" borderId="8" xfId="1" applyFont="1" applyFill="1" applyBorder="1" applyAlignment="1">
      <alignment horizontal="right" vertical="center" wrapText="1" indent="1"/>
    </xf>
    <xf numFmtId="176" fontId="40" fillId="7" borderId="11" xfId="1" applyNumberFormat="1" applyFont="1" applyFill="1" applyBorder="1" applyAlignment="1">
      <alignment vertical="center"/>
    </xf>
    <xf numFmtId="182" fontId="40" fillId="7" borderId="11" xfId="2" applyNumberFormat="1" applyFont="1" applyFill="1" applyBorder="1" applyAlignment="1">
      <alignment horizontal="center" vertical="center"/>
    </xf>
    <xf numFmtId="0" fontId="21" fillId="7" borderId="19" xfId="1" applyNumberFormat="1" applyFont="1" applyFill="1" applyBorder="1" applyAlignment="1">
      <alignment horizontal="center" vertical="center" wrapText="1"/>
    </xf>
    <xf numFmtId="176" fontId="40" fillId="7" borderId="3" xfId="1" applyNumberFormat="1" applyFont="1" applyFill="1" applyBorder="1" applyAlignment="1">
      <alignment vertical="center"/>
    </xf>
    <xf numFmtId="0" fontId="21" fillId="7" borderId="18" xfId="1" applyNumberFormat="1" applyFont="1" applyFill="1" applyBorder="1" applyAlignment="1">
      <alignment horizontal="center" vertical="center" wrapText="1"/>
    </xf>
    <xf numFmtId="0" fontId="37" fillId="6" borderId="47" xfId="3" applyFont="1" applyFill="1" applyBorder="1" applyAlignment="1">
      <alignment horizontal="center" vertical="center" wrapText="1"/>
    </xf>
    <xf numFmtId="0" fontId="0" fillId="11" borderId="0" xfId="0" applyFill="1" applyAlignment="1">
      <alignment vertical="center" wrapText="1"/>
    </xf>
    <xf numFmtId="176" fontId="37" fillId="6" borderId="8" xfId="4" applyNumberFormat="1" applyFont="1" applyFill="1" applyBorder="1" applyAlignment="1">
      <alignment horizontal="right" vertical="center"/>
    </xf>
    <xf numFmtId="176" fontId="37" fillId="6" borderId="8" xfId="1" applyNumberFormat="1" applyFont="1" applyFill="1" applyBorder="1" applyAlignment="1">
      <alignment horizontal="right" vertical="center"/>
    </xf>
    <xf numFmtId="10" fontId="3" fillId="0" borderId="58" xfId="3" applyNumberFormat="1" applyFont="1" applyBorder="1" applyAlignment="1">
      <alignment horizontal="center" vertical="center"/>
    </xf>
    <xf numFmtId="10" fontId="3" fillId="0" borderId="59" xfId="3" applyNumberFormat="1" applyFont="1" applyBorder="1" applyAlignment="1">
      <alignment horizontal="center" vertical="center"/>
    </xf>
    <xf numFmtId="10" fontId="50" fillId="0" borderId="43" xfId="3" applyNumberFormat="1" applyFont="1" applyBorder="1" applyAlignment="1">
      <alignment horizontal="center" vertical="center"/>
    </xf>
    <xf numFmtId="0" fontId="51" fillId="0" borderId="0" xfId="0" applyFont="1">
      <alignment vertical="center"/>
    </xf>
    <xf numFmtId="0" fontId="45" fillId="0" borderId="0" xfId="3" applyFont="1" applyFill="1" applyBorder="1" applyAlignment="1">
      <alignment horizontal="center" vertical="center" wrapText="1"/>
    </xf>
    <xf numFmtId="0" fontId="31" fillId="0" borderId="0" xfId="3" applyFont="1" applyFill="1" applyBorder="1" applyAlignment="1">
      <alignment horizontal="left" vertical="center" indent="1"/>
    </xf>
    <xf numFmtId="41" fontId="38" fillId="6" borderId="8" xfId="1" applyFont="1" applyFill="1" applyBorder="1" applyAlignment="1">
      <alignment horizontal="right"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37" fillId="0" borderId="7" xfId="3" quotePrefix="1" applyFont="1" applyBorder="1" applyAlignment="1">
      <alignment horizontal="center" vertical="center" wrapText="1"/>
    </xf>
    <xf numFmtId="0" fontId="22" fillId="6" borderId="18" xfId="1" quotePrefix="1" applyNumberFormat="1" applyFont="1" applyFill="1" applyBorder="1" applyAlignment="1">
      <alignment horizontal="left" vertical="center" wrapText="1"/>
    </xf>
    <xf numFmtId="0" fontId="45" fillId="4" borderId="31" xfId="3" applyFont="1" applyFill="1" applyBorder="1" applyAlignment="1">
      <alignment horizontal="center" vertical="center"/>
    </xf>
    <xf numFmtId="0" fontId="31" fillId="0" borderId="26" xfId="3" applyFont="1" applyBorder="1" applyAlignment="1">
      <alignment horizontal="left" vertical="center" indent="1"/>
    </xf>
    <xf numFmtId="0" fontId="10" fillId="12" borderId="63" xfId="0" applyFont="1" applyFill="1" applyBorder="1">
      <alignment vertical="center"/>
    </xf>
    <xf numFmtId="9" fontId="10" fillId="12" borderId="63" xfId="0" applyNumberFormat="1" applyFont="1" applyFill="1" applyBorder="1" applyAlignment="1">
      <alignment horizontal="center" vertical="center"/>
    </xf>
    <xf numFmtId="41" fontId="10" fillId="12" borderId="63" xfId="0" applyNumberFormat="1" applyFont="1" applyFill="1" applyBorder="1" applyAlignment="1">
      <alignment horizontal="right" vertical="center" indent="1"/>
    </xf>
    <xf numFmtId="41" fontId="10" fillId="12" borderId="63" xfId="0" applyNumberFormat="1" applyFont="1" applyFill="1" applyBorder="1">
      <alignment vertical="center"/>
    </xf>
    <xf numFmtId="0" fontId="10" fillId="12" borderId="63" xfId="0" applyFont="1" applyFill="1" applyBorder="1" applyAlignment="1">
      <alignment horizontal="left" vertical="center"/>
    </xf>
    <xf numFmtId="0" fontId="56" fillId="15" borderId="72" xfId="0" applyFont="1" applyFill="1" applyBorder="1" applyAlignment="1">
      <alignment horizontal="center" vertical="center" wrapText="1"/>
    </xf>
    <xf numFmtId="0" fontId="56" fillId="15" borderId="65" xfId="0" applyFont="1" applyFill="1" applyBorder="1" applyAlignment="1">
      <alignment horizontal="center" vertical="center" wrapText="1"/>
    </xf>
    <xf numFmtId="3" fontId="56" fillId="0" borderId="75" xfId="0" applyNumberFormat="1" applyFont="1" applyBorder="1" applyAlignment="1">
      <alignment horizontal="right" vertical="center" wrapText="1" indent="1"/>
    </xf>
    <xf numFmtId="3" fontId="56" fillId="0" borderId="76" xfId="0" applyNumberFormat="1" applyFont="1" applyBorder="1" applyAlignment="1">
      <alignment horizontal="right" vertical="center" wrapText="1" indent="1"/>
    </xf>
    <xf numFmtId="0" fontId="57" fillId="0" borderId="71" xfId="0" applyFont="1" applyBorder="1" applyAlignment="1">
      <alignment horizontal="center" vertical="center" wrapText="1"/>
    </xf>
    <xf numFmtId="3" fontId="56" fillId="0" borderId="67" xfId="0" applyNumberFormat="1" applyFont="1" applyBorder="1" applyAlignment="1">
      <alignment horizontal="right" vertical="center" wrapText="1" indent="1"/>
    </xf>
    <xf numFmtId="3" fontId="56" fillId="0" borderId="80" xfId="0" applyNumberFormat="1" applyFont="1" applyBorder="1" applyAlignment="1">
      <alignment horizontal="right" vertical="center" wrapText="1" indent="1"/>
    </xf>
    <xf numFmtId="3" fontId="56" fillId="0" borderId="79" xfId="0" applyNumberFormat="1" applyFont="1" applyBorder="1" applyAlignment="1">
      <alignment horizontal="right" vertical="center" wrapText="1" indent="1"/>
    </xf>
    <xf numFmtId="0" fontId="57" fillId="0" borderId="89" xfId="0" applyFont="1" applyBorder="1" applyAlignment="1">
      <alignment vertical="center" wrapText="1"/>
    </xf>
    <xf numFmtId="0" fontId="57" fillId="0" borderId="89" xfId="0" quotePrefix="1" applyFont="1" applyBorder="1" applyAlignment="1">
      <alignment vertical="center" wrapText="1"/>
    </xf>
    <xf numFmtId="0" fontId="57" fillId="0" borderId="89" xfId="0" applyFont="1" applyBorder="1" applyAlignment="1">
      <alignment horizontal="left" vertical="center" wrapText="1"/>
    </xf>
    <xf numFmtId="0" fontId="58" fillId="0" borderId="89" xfId="0" applyFont="1" applyBorder="1" applyAlignment="1">
      <alignment vertical="center" wrapText="1"/>
    </xf>
    <xf numFmtId="0" fontId="57" fillId="0" borderId="89" xfId="0" quotePrefix="1" applyFont="1" applyBorder="1" applyAlignment="1">
      <alignment horizontal="left" vertical="center" wrapText="1"/>
    </xf>
    <xf numFmtId="0" fontId="57" fillId="0" borderId="93" xfId="0" quotePrefix="1" applyFont="1" applyBorder="1" applyAlignment="1">
      <alignment horizontal="left"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37" fillId="2" borderId="15" xfId="3" applyFont="1" applyFill="1" applyBorder="1" applyAlignment="1">
      <alignment horizontal="center"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37" fillId="2" borderId="15" xfId="3" applyFont="1" applyFill="1" applyBorder="1" applyAlignment="1">
      <alignment horizontal="center"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37" fillId="2" borderId="7" xfId="3" applyFont="1" applyFill="1" applyBorder="1" applyAlignment="1">
      <alignment horizontal="center" vertical="center" wrapText="1"/>
    </xf>
    <xf numFmtId="0" fontId="31" fillId="0" borderId="26" xfId="3" applyFont="1" applyBorder="1" applyAlignment="1">
      <alignment horizontal="left" vertical="center" indent="1"/>
    </xf>
    <xf numFmtId="0" fontId="49" fillId="9" borderId="36" xfId="3" applyFont="1" applyFill="1" applyBorder="1" applyAlignment="1">
      <alignment horizontal="center" vertical="center" wrapText="1"/>
    </xf>
    <xf numFmtId="0" fontId="19" fillId="6" borderId="23" xfId="1" quotePrefix="1" applyNumberFormat="1" applyFont="1" applyFill="1" applyBorder="1" applyAlignment="1">
      <alignment horizontal="left" vertical="center" wrapText="1"/>
    </xf>
    <xf numFmtId="0" fontId="59" fillId="16" borderId="95" xfId="0" applyFont="1" applyFill="1" applyBorder="1" applyAlignment="1">
      <alignment horizontal="center" vertical="center"/>
    </xf>
    <xf numFmtId="0" fontId="60" fillId="0" borderId="26" xfId="3" applyFont="1" applyBorder="1" applyAlignment="1">
      <alignment vertical="center"/>
    </xf>
    <xf numFmtId="0" fontId="41" fillId="3" borderId="0" xfId="3" applyFont="1" applyFill="1" applyAlignment="1">
      <alignment horizontal="center" vertical="center" wrapText="1"/>
    </xf>
    <xf numFmtId="176" fontId="43" fillId="3" borderId="0" xfId="1" applyNumberFormat="1" applyFont="1" applyFill="1" applyBorder="1" applyAlignment="1">
      <alignment vertical="center"/>
    </xf>
    <xf numFmtId="10" fontId="41" fillId="3" borderId="0" xfId="2" applyNumberFormat="1" applyFont="1" applyFill="1" applyBorder="1" applyAlignment="1" applyProtection="1">
      <alignment horizontal="center" vertical="center"/>
    </xf>
    <xf numFmtId="176" fontId="42" fillId="3" borderId="0" xfId="1" applyNumberFormat="1" applyFont="1" applyFill="1" applyBorder="1" applyAlignment="1">
      <alignment vertical="center"/>
    </xf>
    <xf numFmtId="0" fontId="28" fillId="3" borderId="0" xfId="3" applyFont="1" applyFill="1" applyAlignment="1">
      <alignment vertical="center" wrapText="1"/>
    </xf>
    <xf numFmtId="0" fontId="37" fillId="3" borderId="12" xfId="3" applyFont="1" applyFill="1" applyBorder="1" applyAlignment="1">
      <alignment horizontal="center" vertical="center" wrapText="1"/>
    </xf>
    <xf numFmtId="3" fontId="62" fillId="0" borderId="75" xfId="0" applyNumberFormat="1" applyFont="1" applyBorder="1" applyAlignment="1">
      <alignment horizontal="right" vertical="center" wrapText="1" indent="1"/>
    </xf>
    <xf numFmtId="3" fontId="62" fillId="0" borderId="67" xfId="0" applyNumberFormat="1" applyFont="1" applyBorder="1" applyAlignment="1">
      <alignment horizontal="right" vertical="center" wrapText="1" indent="1"/>
    </xf>
    <xf numFmtId="0" fontId="37" fillId="2" borderId="7" xfId="3" quotePrefix="1" applyFont="1" applyFill="1" applyBorder="1" applyAlignment="1">
      <alignment horizontal="center" vertical="center" wrapText="1"/>
    </xf>
    <xf numFmtId="10" fontId="32" fillId="0" borderId="102" xfId="3" applyNumberFormat="1" applyFont="1" applyBorder="1" applyAlignment="1">
      <alignment vertical="center" wrapText="1"/>
    </xf>
    <xf numFmtId="0" fontId="19" fillId="0" borderId="5" xfId="3" quotePrefix="1" applyFont="1" applyBorder="1" applyAlignment="1">
      <alignment vertical="center" wrapText="1"/>
    </xf>
    <xf numFmtId="0" fontId="19" fillId="0" borderId="6" xfId="3" quotePrefix="1" applyFont="1" applyBorder="1" applyAlignment="1">
      <alignment vertical="center" wrapText="1"/>
    </xf>
    <xf numFmtId="0" fontId="19" fillId="0" borderId="7" xfId="3" quotePrefix="1" applyFont="1" applyBorder="1" applyAlignment="1">
      <alignment vertical="center" wrapText="1"/>
    </xf>
    <xf numFmtId="0" fontId="22" fillId="6" borderId="18" xfId="1" quotePrefix="1" applyNumberFormat="1" applyFont="1" applyFill="1" applyBorder="1" applyAlignment="1">
      <alignment horizontal="left" vertical="center" wrapText="1"/>
    </xf>
    <xf numFmtId="0" fontId="22" fillId="6" borderId="18" xfId="1" quotePrefix="1" applyNumberFormat="1" applyFont="1" applyFill="1" applyBorder="1" applyAlignment="1">
      <alignment horizontal="left"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31" fillId="0" borderId="26" xfId="3" applyFont="1" applyBorder="1" applyAlignment="1">
      <alignment horizontal="left" vertical="center" indent="1"/>
    </xf>
    <xf numFmtId="179" fontId="37" fillId="3" borderId="8" xfId="4" applyFont="1" applyFill="1" applyBorder="1" applyAlignment="1">
      <alignment horizontal="center" vertical="center"/>
    </xf>
    <xf numFmtId="176" fontId="37" fillId="3" borderId="8" xfId="4" applyNumberFormat="1" applyFont="1" applyFill="1" applyBorder="1" applyAlignment="1">
      <alignment vertical="center"/>
    </xf>
    <xf numFmtId="182" fontId="39" fillId="3" borderId="8" xfId="3" applyNumberFormat="1" applyFont="1" applyFill="1" applyBorder="1" applyAlignment="1">
      <alignment horizontal="center" vertical="center"/>
    </xf>
    <xf numFmtId="176" fontId="37" fillId="3" borderId="8" xfId="1" applyNumberFormat="1" applyFont="1" applyFill="1" applyBorder="1" applyAlignment="1">
      <alignment vertical="center"/>
    </xf>
    <xf numFmtId="182" fontId="39" fillId="3" borderId="11" xfId="3" applyNumberFormat="1" applyFont="1" applyFill="1" applyBorder="1" applyAlignment="1">
      <alignment horizontal="center" vertical="center"/>
    </xf>
    <xf numFmtId="0" fontId="22" fillId="3" borderId="19" xfId="1" applyNumberFormat="1" applyFont="1" applyFill="1" applyBorder="1" applyAlignment="1">
      <alignment horizontal="left" vertical="center" wrapText="1"/>
    </xf>
    <xf numFmtId="0" fontId="37" fillId="2" borderId="15" xfId="3" applyFont="1" applyFill="1" applyBorder="1" applyAlignment="1">
      <alignment horizontal="center" vertical="center" wrapText="1"/>
    </xf>
    <xf numFmtId="0" fontId="31" fillId="0" borderId="26" xfId="3" applyFont="1" applyBorder="1" applyAlignment="1">
      <alignment horizontal="left" vertical="center" indent="1"/>
    </xf>
    <xf numFmtId="0" fontId="37" fillId="2" borderId="8" xfId="3" applyFont="1" applyFill="1" applyBorder="1" applyAlignment="1">
      <alignment horizontal="center" vertical="center" wrapText="1"/>
    </xf>
    <xf numFmtId="0" fontId="31" fillId="0" borderId="26" xfId="3" applyFont="1" applyBorder="1" applyAlignment="1">
      <alignment horizontal="left" vertical="center" indent="1"/>
    </xf>
    <xf numFmtId="0" fontId="37" fillId="2" borderId="8" xfId="3" applyFont="1" applyFill="1" applyBorder="1" applyAlignment="1">
      <alignment horizontal="center" vertical="center" wrapText="1"/>
    </xf>
    <xf numFmtId="0" fontId="19" fillId="0" borderId="5" xfId="3" quotePrefix="1" applyFont="1" applyBorder="1" applyAlignment="1">
      <alignment vertical="center" wrapText="1"/>
    </xf>
    <xf numFmtId="0" fontId="19" fillId="0" borderId="6" xfId="3" quotePrefix="1" applyFont="1" applyBorder="1" applyAlignment="1">
      <alignment vertical="center" wrapText="1"/>
    </xf>
    <xf numFmtId="0" fontId="19" fillId="0" borderId="7" xfId="3" quotePrefix="1" applyFont="1" applyBorder="1" applyAlignment="1">
      <alignment vertical="center" wrapText="1"/>
    </xf>
    <xf numFmtId="0" fontId="37" fillId="2" borderId="7" xfId="3" applyFont="1" applyFill="1" applyBorder="1" applyAlignment="1">
      <alignment horizontal="center" vertical="center" wrapText="1"/>
    </xf>
    <xf numFmtId="179" fontId="37" fillId="0" borderId="8" xfId="4" applyFont="1" applyFill="1" applyBorder="1" applyAlignment="1">
      <alignment horizontal="center" vertical="center"/>
    </xf>
    <xf numFmtId="176" fontId="37" fillId="0" borderId="8" xfId="4" applyNumberFormat="1" applyFont="1" applyFill="1" applyBorder="1" applyAlignment="1">
      <alignment vertical="center"/>
    </xf>
    <xf numFmtId="0" fontId="22" fillId="6" borderId="4" xfId="1" applyNumberFormat="1" applyFont="1" applyFill="1" applyBorder="1" applyAlignment="1">
      <alignment horizontal="left" vertical="center" wrapText="1"/>
    </xf>
    <xf numFmtId="41" fontId="37" fillId="6" borderId="8" xfId="1" applyNumberFormat="1" applyFont="1" applyFill="1" applyBorder="1" applyAlignment="1">
      <alignment horizontal="center" vertical="center"/>
    </xf>
    <xf numFmtId="41" fontId="37" fillId="0" borderId="8" xfId="1" applyNumberFormat="1" applyFont="1" applyFill="1" applyBorder="1" applyAlignment="1">
      <alignment horizontal="center" vertical="center"/>
    </xf>
    <xf numFmtId="41" fontId="37" fillId="3" borderId="8" xfId="1" applyNumberFormat="1" applyFont="1" applyFill="1" applyBorder="1" applyAlignment="1">
      <alignment horizontal="center" vertical="center"/>
    </xf>
    <xf numFmtId="0" fontId="19" fillId="0" borderId="5" xfId="3" quotePrefix="1" applyFont="1" applyBorder="1" applyAlignment="1">
      <alignment vertical="center" wrapText="1"/>
    </xf>
    <xf numFmtId="0" fontId="19" fillId="0" borderId="6" xfId="3" quotePrefix="1" applyFont="1" applyBorder="1" applyAlignment="1">
      <alignment vertical="center" wrapText="1"/>
    </xf>
    <xf numFmtId="0" fontId="19" fillId="0" borderId="7" xfId="3" quotePrefix="1" applyFont="1" applyBorder="1" applyAlignment="1">
      <alignment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22" fillId="6" borderId="18" xfId="1" quotePrefix="1" applyNumberFormat="1" applyFont="1" applyFill="1" applyBorder="1" applyAlignment="1">
      <alignment horizontal="left" vertical="center" wrapText="1"/>
    </xf>
    <xf numFmtId="0" fontId="37" fillId="2" borderId="9" xfId="3" applyFont="1" applyFill="1" applyBorder="1" applyAlignment="1">
      <alignment horizontal="center" vertical="center" wrapText="1"/>
    </xf>
    <xf numFmtId="41" fontId="37" fillId="6" borderId="8" xfId="1" applyFont="1" applyFill="1" applyBorder="1" applyAlignment="1">
      <alignment horizontal="center" vertical="center"/>
    </xf>
    <xf numFmtId="0" fontId="49" fillId="9" borderId="98" xfId="3" applyFont="1" applyFill="1" applyBorder="1" applyAlignment="1">
      <alignment horizontal="center" vertical="center" wrapText="1"/>
    </xf>
    <xf numFmtId="0" fontId="49" fillId="9" borderId="99" xfId="3" applyFont="1" applyFill="1" applyBorder="1" applyAlignment="1">
      <alignment horizontal="center" vertical="center" wrapText="1"/>
    </xf>
    <xf numFmtId="41" fontId="37" fillId="0" borderId="8" xfId="1" applyFont="1" applyFill="1" applyBorder="1" applyAlignment="1">
      <alignment horizontal="center" vertical="center"/>
    </xf>
    <xf numFmtId="0" fontId="19" fillId="6" borderId="16" xfId="1" quotePrefix="1" applyNumberFormat="1" applyFont="1" applyFill="1" applyBorder="1" applyAlignment="1">
      <alignment horizontal="left"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22" fillId="6" borderId="18" xfId="1" quotePrefix="1" applyNumberFormat="1" applyFont="1" applyFill="1" applyBorder="1" applyAlignment="1">
      <alignment horizontal="left"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19" fillId="0" borderId="5" xfId="3" quotePrefix="1" applyFont="1" applyBorder="1" applyAlignment="1">
      <alignment vertical="center" wrapText="1"/>
    </xf>
    <xf numFmtId="0" fontId="19" fillId="0" borderId="6" xfId="3" quotePrefix="1" applyFont="1" applyBorder="1" applyAlignment="1">
      <alignment vertical="center" wrapText="1"/>
    </xf>
    <xf numFmtId="0" fontId="19" fillId="0" borderId="7" xfId="3" quotePrefix="1" applyFont="1" applyBorder="1" applyAlignment="1">
      <alignment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37" fillId="6" borderId="107" xfId="3" applyFont="1" applyFill="1" applyBorder="1" applyAlignment="1">
      <alignment horizontal="center" vertical="center" wrapText="1"/>
    </xf>
    <xf numFmtId="0" fontId="37" fillId="0" borderId="13" xfId="3" quotePrefix="1" applyFont="1" applyBorder="1" applyAlignment="1">
      <alignment horizontal="center" vertical="center" wrapText="1"/>
    </xf>
    <xf numFmtId="0" fontId="57" fillId="0" borderId="69" xfId="0" applyFont="1" applyBorder="1" applyAlignment="1">
      <alignment horizontal="center" vertical="center" wrapText="1"/>
    </xf>
    <xf numFmtId="3" fontId="56" fillId="0" borderId="112" xfId="0" applyNumberFormat="1" applyFont="1" applyBorder="1" applyAlignment="1">
      <alignment horizontal="right" vertical="center" wrapText="1" indent="1"/>
    </xf>
    <xf numFmtId="3" fontId="56" fillId="0" borderId="92" xfId="0" applyNumberFormat="1" applyFont="1" applyBorder="1" applyAlignment="1">
      <alignment horizontal="right" vertical="center" wrapText="1"/>
    </xf>
    <xf numFmtId="0" fontId="37" fillId="2" borderId="9" xfId="3" applyFont="1" applyFill="1" applyBorder="1" applyAlignment="1">
      <alignment horizontal="center" vertical="center" wrapText="1"/>
    </xf>
    <xf numFmtId="177" fontId="3" fillId="0" borderId="0" xfId="0" applyNumberFormat="1" applyFont="1" applyAlignment="1">
      <alignment horizontal="left" vertical="center"/>
    </xf>
    <xf numFmtId="0" fontId="37" fillId="2" borderId="5" xfId="3" applyFont="1" applyFill="1" applyBorder="1" applyAlignment="1">
      <alignment horizontal="center" vertical="center" wrapText="1"/>
    </xf>
    <xf numFmtId="0" fontId="37" fillId="2" borderId="6" xfId="3" applyFont="1" applyFill="1" applyBorder="1" applyAlignment="1">
      <alignment horizontal="center" vertical="center" wrapText="1"/>
    </xf>
    <xf numFmtId="0" fontId="37" fillId="2" borderId="7" xfId="3" applyFont="1" applyFill="1" applyBorder="1" applyAlignment="1">
      <alignment horizontal="center" vertical="center" wrapText="1"/>
    </xf>
    <xf numFmtId="0" fontId="19" fillId="0" borderId="5" xfId="3" quotePrefix="1" applyFont="1" applyBorder="1" applyAlignment="1">
      <alignment vertical="center" wrapText="1"/>
    </xf>
    <xf numFmtId="0" fontId="19" fillId="0" borderId="6" xfId="3" quotePrefix="1" applyFont="1" applyBorder="1" applyAlignment="1">
      <alignment vertical="center" wrapText="1"/>
    </xf>
    <xf numFmtId="0" fontId="19" fillId="0" borderId="7" xfId="3" quotePrefix="1" applyFont="1" applyBorder="1" applyAlignment="1">
      <alignment vertical="center" wrapText="1"/>
    </xf>
    <xf numFmtId="0" fontId="22" fillId="6" borderId="23" xfId="1" quotePrefix="1" applyNumberFormat="1" applyFont="1" applyFill="1" applyBorder="1" applyAlignment="1">
      <alignment horizontal="left" vertical="center" wrapText="1"/>
    </xf>
    <xf numFmtId="0" fontId="22" fillId="6" borderId="18" xfId="1" quotePrefix="1" applyNumberFormat="1" applyFont="1" applyFill="1" applyBorder="1" applyAlignment="1">
      <alignment horizontal="left" vertical="center" wrapText="1"/>
    </xf>
    <xf numFmtId="0" fontId="22" fillId="0" borderId="5" xfId="3" quotePrefix="1" applyFont="1" applyBorder="1" applyAlignment="1">
      <alignment horizontal="left" vertical="center" wrapText="1"/>
    </xf>
    <xf numFmtId="0" fontId="22" fillId="0" borderId="6" xfId="3" quotePrefix="1" applyFont="1" applyBorder="1" applyAlignment="1">
      <alignment horizontal="left" vertical="center" wrapText="1"/>
    </xf>
    <xf numFmtId="0" fontId="22" fillId="0" borderId="7" xfId="3" quotePrefix="1" applyFont="1" applyBorder="1" applyAlignment="1">
      <alignment horizontal="left" vertical="center" wrapText="1"/>
    </xf>
    <xf numFmtId="0" fontId="37" fillId="2" borderId="15" xfId="3" applyFont="1" applyFill="1" applyBorder="1" applyAlignment="1">
      <alignment horizontal="center" vertical="center" wrapText="1"/>
    </xf>
    <xf numFmtId="0" fontId="37" fillId="2" borderId="10" xfId="3" applyFont="1" applyFill="1" applyBorder="1" applyAlignment="1">
      <alignment horizontal="center" vertical="center" wrapText="1"/>
    </xf>
    <xf numFmtId="0" fontId="37" fillId="2" borderId="17" xfId="3" applyFont="1" applyFill="1" applyBorder="1" applyAlignment="1">
      <alignment horizontal="center" vertical="center" wrapText="1"/>
    </xf>
    <xf numFmtId="0" fontId="37" fillId="2" borderId="12" xfId="3" applyFont="1" applyFill="1" applyBorder="1" applyAlignment="1">
      <alignment horizontal="center" vertical="center" wrapText="1"/>
    </xf>
    <xf numFmtId="0" fontId="37" fillId="0" borderId="4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2" fillId="3" borderId="5" xfId="3" quotePrefix="1" applyFont="1" applyFill="1" applyBorder="1" applyAlignment="1">
      <alignment horizontal="left" vertical="center" wrapText="1"/>
    </xf>
    <xf numFmtId="0" fontId="22" fillId="3" borderId="6" xfId="3" quotePrefix="1" applyFont="1" applyFill="1" applyBorder="1" applyAlignment="1">
      <alignment horizontal="left" vertical="center" wrapText="1"/>
    </xf>
    <xf numFmtId="0" fontId="22" fillId="3" borderId="7" xfId="3" quotePrefix="1" applyFont="1" applyFill="1" applyBorder="1" applyAlignment="1">
      <alignment horizontal="left" vertical="center" wrapText="1"/>
    </xf>
    <xf numFmtId="0" fontId="41" fillId="8" borderId="48" xfId="3" applyFont="1" applyFill="1" applyBorder="1" applyAlignment="1">
      <alignment horizontal="center" vertical="center" wrapText="1"/>
    </xf>
    <xf numFmtId="0" fontId="41" fillId="8" borderId="6" xfId="3" applyFont="1" applyFill="1" applyBorder="1" applyAlignment="1">
      <alignment horizontal="center" vertical="center" wrapText="1"/>
    </xf>
    <xf numFmtId="0" fontId="41" fillId="8" borderId="7" xfId="3" applyFont="1" applyFill="1" applyBorder="1" applyAlignment="1">
      <alignment horizontal="center" vertical="center" wrapText="1"/>
    </xf>
    <xf numFmtId="41" fontId="22" fillId="0" borderId="63" xfId="1" applyFont="1" applyBorder="1" applyAlignment="1">
      <alignment horizontal="center" vertical="center"/>
    </xf>
    <xf numFmtId="41" fontId="22" fillId="0" borderId="61" xfId="1" applyFont="1" applyBorder="1" applyAlignment="1">
      <alignment horizontal="center" vertical="center"/>
    </xf>
    <xf numFmtId="0" fontId="19" fillId="0" borderId="15" xfId="3" quotePrefix="1" applyFont="1" applyBorder="1" applyAlignment="1">
      <alignment horizontal="left" vertical="center" wrapText="1"/>
    </xf>
    <xf numFmtId="0" fontId="19" fillId="0" borderId="24" xfId="3" quotePrefix="1" applyFont="1" applyBorder="1" applyAlignment="1">
      <alignment horizontal="left" vertical="center" wrapText="1"/>
    </xf>
    <xf numFmtId="0" fontId="19" fillId="0" borderId="10" xfId="3" quotePrefix="1" applyFont="1" applyBorder="1" applyAlignment="1">
      <alignment horizontal="left" vertical="center" wrapText="1"/>
    </xf>
    <xf numFmtId="0" fontId="37" fillId="6" borderId="45" xfId="3" applyFont="1" applyFill="1" applyBorder="1" applyAlignment="1">
      <alignment horizontal="center" vertical="center" wrapText="1"/>
    </xf>
    <xf numFmtId="0" fontId="37" fillId="6" borderId="47" xfId="3" applyFont="1" applyFill="1" applyBorder="1" applyAlignment="1">
      <alignment horizontal="center" vertical="center" wrapText="1"/>
    </xf>
    <xf numFmtId="0" fontId="37" fillId="2" borderId="5" xfId="3" quotePrefix="1" applyFont="1" applyFill="1" applyBorder="1" applyAlignment="1">
      <alignment horizontal="center" vertical="center" wrapText="1"/>
    </xf>
    <xf numFmtId="0" fontId="37" fillId="2" borderId="6" xfId="3" quotePrefix="1" applyFont="1" applyFill="1" applyBorder="1" applyAlignment="1">
      <alignment horizontal="center" vertical="center" wrapText="1"/>
    </xf>
    <xf numFmtId="0" fontId="37" fillId="2" borderId="7" xfId="3" quotePrefix="1" applyFont="1" applyFill="1" applyBorder="1" applyAlignment="1">
      <alignment horizontal="center" vertical="center" wrapText="1"/>
    </xf>
    <xf numFmtId="0" fontId="37" fillId="2" borderId="8" xfId="3" applyFont="1" applyFill="1" applyBorder="1" applyAlignment="1">
      <alignment horizontal="center" vertical="center" wrapText="1"/>
    </xf>
    <xf numFmtId="0" fontId="37" fillId="0" borderId="10" xfId="3" quotePrefix="1" applyFont="1" applyBorder="1" applyAlignment="1">
      <alignment horizontal="center" vertical="center" wrapText="1"/>
    </xf>
    <xf numFmtId="0" fontId="37" fillId="0" borderId="12" xfId="3" quotePrefix="1" applyFont="1" applyBorder="1" applyAlignment="1">
      <alignment horizontal="center" vertical="center" wrapText="1"/>
    </xf>
    <xf numFmtId="0" fontId="37" fillId="0" borderId="13" xfId="3" quotePrefix="1" applyFont="1" applyBorder="1" applyAlignment="1">
      <alignment horizontal="center" vertical="center" wrapText="1"/>
    </xf>
    <xf numFmtId="0" fontId="19" fillId="0" borderId="8" xfId="3" quotePrefix="1" applyFont="1" applyBorder="1" applyAlignment="1">
      <alignment horizontal="left" vertical="center" wrapText="1"/>
    </xf>
    <xf numFmtId="0" fontId="40" fillId="7" borderId="48" xfId="3" applyFont="1" applyFill="1" applyBorder="1" applyAlignment="1">
      <alignment horizontal="center" vertical="center" wrapText="1"/>
    </xf>
    <xf numFmtId="0" fontId="40" fillId="7" borderId="6" xfId="3" applyFont="1" applyFill="1" applyBorder="1" applyAlignment="1">
      <alignment horizontal="center" vertical="center" wrapText="1"/>
    </xf>
    <xf numFmtId="0" fontId="40" fillId="7" borderId="7" xfId="3" applyFont="1" applyFill="1" applyBorder="1" applyAlignment="1">
      <alignment horizontal="center" vertical="center" wrapText="1"/>
    </xf>
    <xf numFmtId="0" fontId="19" fillId="0" borderId="5" xfId="3" quotePrefix="1" applyFont="1" applyBorder="1" applyAlignment="1">
      <alignment horizontal="left" vertical="center" wrapText="1"/>
    </xf>
    <xf numFmtId="0" fontId="19" fillId="0" borderId="6" xfId="3" quotePrefix="1" applyFont="1" applyBorder="1" applyAlignment="1">
      <alignment horizontal="left" vertical="center" wrapText="1"/>
    </xf>
    <xf numFmtId="0" fontId="19" fillId="0" borderId="7" xfId="3" quotePrefix="1" applyFont="1" applyBorder="1" applyAlignment="1">
      <alignment horizontal="left" vertical="center" wrapText="1"/>
    </xf>
    <xf numFmtId="0" fontId="37" fillId="0" borderId="7" xfId="3" quotePrefix="1" applyFont="1" applyBorder="1" applyAlignment="1">
      <alignment horizontal="center" vertical="center" wrapText="1"/>
    </xf>
    <xf numFmtId="0" fontId="37" fillId="2" borderId="54" xfId="3" applyFont="1" applyFill="1" applyBorder="1" applyAlignment="1">
      <alignment horizontal="center" vertical="center" wrapText="1"/>
    </xf>
    <xf numFmtId="0" fontId="37" fillId="2" borderId="55" xfId="3" applyFont="1" applyFill="1" applyBorder="1" applyAlignment="1">
      <alignment horizontal="center" vertical="center" wrapText="1"/>
    </xf>
    <xf numFmtId="0" fontId="37" fillId="2" borderId="56" xfId="3" applyFont="1" applyFill="1" applyBorder="1" applyAlignment="1">
      <alignment horizontal="center" vertical="center" wrapText="1"/>
    </xf>
    <xf numFmtId="0" fontId="37" fillId="2" borderId="57" xfId="3" applyFont="1" applyFill="1" applyBorder="1" applyAlignment="1">
      <alignment horizontal="center" vertical="center" wrapText="1"/>
    </xf>
    <xf numFmtId="0" fontId="22" fillId="0" borderId="15" xfId="3" quotePrefix="1" applyFont="1" applyBorder="1" applyAlignment="1">
      <alignment horizontal="left" vertical="center" wrapText="1"/>
    </xf>
    <xf numFmtId="0" fontId="22" fillId="0" borderId="24" xfId="3" quotePrefix="1" applyFont="1" applyBorder="1" applyAlignment="1">
      <alignment horizontal="left" vertical="center" wrapText="1"/>
    </xf>
    <xf numFmtId="0" fontId="22" fillId="0" borderId="10" xfId="3" quotePrefix="1" applyFont="1" applyBorder="1" applyAlignment="1">
      <alignment horizontal="left" vertical="center" wrapText="1"/>
    </xf>
    <xf numFmtId="0" fontId="37" fillId="6" borderId="46" xfId="3" applyFont="1" applyFill="1" applyBorder="1" applyAlignment="1">
      <alignment horizontal="center" vertical="center" wrapText="1"/>
    </xf>
    <xf numFmtId="0" fontId="37" fillId="6" borderId="53" xfId="3" applyFont="1" applyFill="1" applyBorder="1" applyAlignment="1">
      <alignment horizontal="center" vertical="center" wrapText="1"/>
    </xf>
    <xf numFmtId="0" fontId="37" fillId="2" borderId="16" xfId="3" applyFont="1" applyFill="1" applyBorder="1" applyAlignment="1">
      <alignment horizontal="center" vertical="center" wrapText="1"/>
    </xf>
    <xf numFmtId="0" fontId="37" fillId="2" borderId="13" xfId="3" applyFont="1" applyFill="1" applyBorder="1" applyAlignment="1">
      <alignment horizontal="center" vertical="center" wrapText="1"/>
    </xf>
    <xf numFmtId="0" fontId="37" fillId="0" borderId="45" xfId="3" quotePrefix="1" applyFont="1" applyBorder="1" applyAlignment="1">
      <alignment horizontal="center" vertical="center" wrapText="1"/>
    </xf>
    <xf numFmtId="0" fontId="37" fillId="0" borderId="46" xfId="3" quotePrefix="1" applyFont="1" applyBorder="1" applyAlignment="1">
      <alignment horizontal="center" vertical="center" wrapText="1"/>
    </xf>
    <xf numFmtId="0" fontId="37" fillId="2" borderId="8" xfId="3" quotePrefix="1" applyFont="1" applyFill="1" applyBorder="1" applyAlignment="1">
      <alignment horizontal="center" vertical="center" wrapText="1"/>
    </xf>
    <xf numFmtId="0" fontId="40" fillId="7" borderId="52" xfId="3" applyFont="1" applyFill="1" applyBorder="1" applyAlignment="1">
      <alignment horizontal="center" vertical="center" wrapText="1"/>
    </xf>
    <xf numFmtId="0" fontId="40" fillId="7" borderId="0" xfId="3" applyFont="1" applyFill="1" applyBorder="1" applyAlignment="1">
      <alignment horizontal="center" vertical="center" wrapText="1"/>
    </xf>
    <xf numFmtId="0" fontId="40" fillId="7" borderId="12" xfId="3" applyFont="1" applyFill="1" applyBorder="1" applyAlignment="1">
      <alignment horizontal="center" vertical="center" wrapText="1"/>
    </xf>
    <xf numFmtId="0" fontId="22" fillId="0" borderId="8" xfId="3" quotePrefix="1" applyFont="1" applyBorder="1" applyAlignment="1">
      <alignment horizontal="left" vertical="center" wrapText="1"/>
    </xf>
    <xf numFmtId="0" fontId="37" fillId="2" borderId="9" xfId="3" applyFont="1" applyFill="1" applyBorder="1" applyAlignment="1">
      <alignment horizontal="center" vertical="center" wrapText="1"/>
    </xf>
    <xf numFmtId="0" fontId="37" fillId="2" borderId="11" xfId="3" applyFont="1" applyFill="1" applyBorder="1" applyAlignment="1">
      <alignment horizontal="center" vertical="center" wrapText="1"/>
    </xf>
    <xf numFmtId="0" fontId="37" fillId="2" borderId="3" xfId="3" applyFont="1" applyFill="1" applyBorder="1" applyAlignment="1">
      <alignment horizontal="center" vertical="center" wrapText="1"/>
    </xf>
    <xf numFmtId="0" fontId="59" fillId="9" borderId="103" xfId="3" applyFont="1" applyFill="1" applyBorder="1" applyAlignment="1">
      <alignment horizontal="center" vertical="center" wrapText="1"/>
    </xf>
    <xf numFmtId="0" fontId="59" fillId="9" borderId="104" xfId="3" applyFont="1" applyFill="1" applyBorder="1" applyAlignment="1">
      <alignment horizontal="center" vertical="center" wrapText="1"/>
    </xf>
    <xf numFmtId="183" fontId="45" fillId="10" borderId="31" xfId="3" applyNumberFormat="1" applyFont="1" applyFill="1" applyBorder="1" applyAlignment="1">
      <alignment horizontal="center" vertical="center" wrapText="1"/>
    </xf>
    <xf numFmtId="0" fontId="15" fillId="3" borderId="0" xfId="3" applyFont="1" applyFill="1" applyAlignment="1">
      <alignment horizontal="center" vertical="center"/>
    </xf>
    <xf numFmtId="0" fontId="45" fillId="4" borderId="32" xfId="3" applyFont="1" applyFill="1" applyBorder="1" applyAlignment="1">
      <alignment horizontal="center" vertical="center"/>
    </xf>
    <xf numFmtId="0" fontId="45" fillId="4" borderId="25" xfId="3" applyFont="1" applyFill="1" applyBorder="1" applyAlignment="1">
      <alignment horizontal="center" vertical="center"/>
    </xf>
    <xf numFmtId="0" fontId="45" fillId="4" borderId="30" xfId="3" applyFont="1" applyFill="1" applyBorder="1" applyAlignment="1">
      <alignment horizontal="center" vertical="center"/>
    </xf>
    <xf numFmtId="0" fontId="45" fillId="4" borderId="28" xfId="3" applyFont="1" applyFill="1" applyBorder="1" applyAlignment="1">
      <alignment horizontal="center" vertical="center"/>
    </xf>
    <xf numFmtId="0" fontId="45" fillId="4" borderId="31" xfId="3" applyFont="1" applyFill="1" applyBorder="1" applyAlignment="1">
      <alignment horizontal="center" vertical="center"/>
    </xf>
    <xf numFmtId="0" fontId="45" fillId="4" borderId="29" xfId="3" applyFont="1" applyFill="1" applyBorder="1" applyAlignment="1">
      <alignment horizontal="center" vertical="center"/>
    </xf>
    <xf numFmtId="31" fontId="33" fillId="0" borderId="27" xfId="3" applyNumberFormat="1" applyFont="1" applyBorder="1" applyAlignment="1">
      <alignment horizontal="left" vertical="center" indent="1"/>
    </xf>
    <xf numFmtId="31" fontId="33" fillId="0" borderId="26" xfId="3" applyNumberFormat="1" applyFont="1" applyBorder="1" applyAlignment="1">
      <alignment horizontal="left" vertical="center" indent="1"/>
    </xf>
    <xf numFmtId="0" fontId="32" fillId="0" borderId="27" xfId="3" applyFont="1" applyBorder="1" applyAlignment="1">
      <alignment horizontal="left" vertical="center" wrapText="1" indent="1"/>
    </xf>
    <xf numFmtId="0" fontId="32" fillId="0" borderId="26" xfId="3" applyFont="1" applyBorder="1" applyAlignment="1">
      <alignment horizontal="left" vertical="center" wrapText="1" indent="1"/>
    </xf>
    <xf numFmtId="0" fontId="45" fillId="4" borderId="33" xfId="3" applyFont="1" applyFill="1" applyBorder="1" applyAlignment="1">
      <alignment horizontal="center" vertical="center"/>
    </xf>
    <xf numFmtId="0" fontId="45" fillId="4" borderId="34" xfId="3" applyFont="1" applyFill="1" applyBorder="1" applyAlignment="1">
      <alignment horizontal="center" vertical="center"/>
    </xf>
    <xf numFmtId="0" fontId="33" fillId="0" borderId="27" xfId="3" applyFont="1" applyBorder="1" applyAlignment="1">
      <alignment horizontal="left" vertical="center" indent="1"/>
    </xf>
    <xf numFmtId="0" fontId="33" fillId="0" borderId="26" xfId="3" applyFont="1" applyBorder="1" applyAlignment="1">
      <alignment horizontal="left" vertical="center" indent="1"/>
    </xf>
    <xf numFmtId="0" fontId="32" fillId="0" borderId="27" xfId="3" applyFont="1" applyBorder="1" applyAlignment="1">
      <alignment horizontal="center" vertical="center"/>
    </xf>
    <xf numFmtId="0" fontId="32" fillId="0" borderId="26" xfId="3" applyFont="1" applyBorder="1" applyAlignment="1">
      <alignment horizontal="center" vertical="center"/>
    </xf>
    <xf numFmtId="0" fontId="34" fillId="3" borderId="27" xfId="3" applyFont="1" applyFill="1" applyBorder="1" applyAlignment="1">
      <alignment horizontal="left" vertical="center" wrapText="1" indent="1"/>
    </xf>
    <xf numFmtId="0" fontId="34" fillId="3" borderId="26" xfId="3" applyFont="1" applyFill="1" applyBorder="1" applyAlignment="1">
      <alignment horizontal="left" vertical="center" wrapText="1" indent="1"/>
    </xf>
    <xf numFmtId="0" fontId="31" fillId="0" borderId="27" xfId="3" applyFont="1" applyBorder="1" applyAlignment="1">
      <alignment horizontal="left" vertical="center" indent="1"/>
    </xf>
    <xf numFmtId="0" fontId="31" fillId="0" borderId="26" xfId="3" applyFont="1" applyBorder="1" applyAlignment="1">
      <alignment horizontal="left" vertical="center" indent="1"/>
    </xf>
    <xf numFmtId="183" fontId="45" fillId="10" borderId="26" xfId="3" applyNumberFormat="1" applyFont="1" applyFill="1" applyBorder="1" applyAlignment="1">
      <alignment horizontal="center" vertical="center" wrapText="1"/>
    </xf>
    <xf numFmtId="0" fontId="37" fillId="2" borderId="113" xfId="3" applyFont="1" applyFill="1" applyBorder="1" applyAlignment="1">
      <alignment horizontal="center" vertical="center" wrapText="1"/>
    </xf>
    <xf numFmtId="0" fontId="22" fillId="6" borderId="19" xfId="1" quotePrefix="1" applyNumberFormat="1" applyFont="1" applyFill="1" applyBorder="1" applyAlignment="1">
      <alignment horizontal="left" vertical="center" wrapText="1"/>
    </xf>
    <xf numFmtId="0" fontId="37" fillId="3" borderId="0" xfId="3" applyFont="1" applyFill="1" applyBorder="1" applyAlignment="1">
      <alignment horizontal="center" vertical="center" wrapText="1"/>
    </xf>
    <xf numFmtId="0" fontId="40" fillId="5" borderId="20" xfId="3" applyFont="1" applyFill="1" applyBorder="1" applyAlignment="1">
      <alignment horizontal="center" vertical="center"/>
    </xf>
    <xf numFmtId="0" fontId="40" fillId="5" borderId="21" xfId="3" applyFont="1" applyFill="1" applyBorder="1" applyAlignment="1">
      <alignment horizontal="center" vertical="center"/>
    </xf>
    <xf numFmtId="0" fontId="40" fillId="5" borderId="22" xfId="3" applyFont="1" applyFill="1" applyBorder="1" applyAlignment="1">
      <alignment horizontal="center" vertical="center"/>
    </xf>
    <xf numFmtId="0" fontId="37" fillId="6" borderId="49" xfId="3" applyFont="1" applyFill="1" applyBorder="1" applyAlignment="1">
      <alignment horizontal="center" vertical="center" wrapText="1"/>
    </xf>
    <xf numFmtId="0" fontId="37" fillId="6" borderId="52" xfId="3" applyFont="1" applyFill="1" applyBorder="1" applyAlignment="1">
      <alignment horizontal="center" vertical="center" wrapText="1"/>
    </xf>
    <xf numFmtId="0" fontId="37" fillId="6" borderId="50" xfId="3" applyFont="1" applyFill="1" applyBorder="1" applyAlignment="1">
      <alignment horizontal="center" vertical="center" wrapText="1"/>
    </xf>
    <xf numFmtId="41" fontId="10" fillId="12" borderId="63" xfId="0" applyNumberFormat="1" applyFont="1" applyFill="1" applyBorder="1" applyAlignment="1">
      <alignment horizontal="center" vertical="center"/>
    </xf>
    <xf numFmtId="0" fontId="22" fillId="0" borderId="63" xfId="0" applyFont="1" applyBorder="1" applyAlignment="1">
      <alignment horizontal="left" vertical="center"/>
    </xf>
    <xf numFmtId="0" fontId="22" fillId="0" borderId="61" xfId="0" applyFont="1" applyBorder="1" applyAlignment="1">
      <alignment horizontal="left" vertical="center"/>
    </xf>
    <xf numFmtId="9" fontId="22" fillId="0" borderId="63" xfId="0" applyNumberFormat="1" applyFont="1" applyBorder="1" applyAlignment="1">
      <alignment horizontal="center" vertical="center"/>
    </xf>
    <xf numFmtId="9" fontId="22" fillId="0" borderId="61" xfId="0" applyNumberFormat="1" applyFont="1" applyBorder="1" applyAlignment="1">
      <alignment horizontal="center" vertical="center"/>
    </xf>
    <xf numFmtId="0" fontId="22" fillId="0" borderId="62" xfId="0" applyFont="1" applyBorder="1" applyAlignment="1">
      <alignment horizontal="left" vertical="center" wrapText="1"/>
    </xf>
    <xf numFmtId="0" fontId="22" fillId="0" borderId="62" xfId="0" applyFont="1" applyBorder="1" applyAlignment="1">
      <alignment horizontal="left" vertical="center"/>
    </xf>
    <xf numFmtId="0" fontId="22" fillId="0" borderId="63" xfId="0" applyFont="1" applyBorder="1" applyAlignment="1">
      <alignment horizontal="left" vertical="center" wrapText="1"/>
    </xf>
    <xf numFmtId="0" fontId="22" fillId="0" borderId="61" xfId="0" applyFont="1" applyBorder="1" applyAlignment="1">
      <alignment horizontal="left" vertical="center" wrapText="1"/>
    </xf>
    <xf numFmtId="0" fontId="49" fillId="9" borderId="64" xfId="3" applyFont="1" applyFill="1" applyBorder="1" applyAlignment="1">
      <alignment horizontal="center" vertical="center" wrapText="1"/>
    </xf>
    <xf numFmtId="0" fontId="49" fillId="9" borderId="36" xfId="3" applyFont="1" applyFill="1" applyBorder="1" applyAlignment="1">
      <alignment horizontal="center" vertical="center" wrapText="1"/>
    </xf>
    <xf numFmtId="10" fontId="53" fillId="0" borderId="96" xfId="3" applyNumberFormat="1" applyFont="1" applyBorder="1" applyAlignment="1">
      <alignment horizontal="left" vertical="top" wrapText="1"/>
    </xf>
    <xf numFmtId="10" fontId="53" fillId="0" borderId="97" xfId="3" applyNumberFormat="1" applyFont="1" applyBorder="1" applyAlignment="1">
      <alignment horizontal="left" vertical="top" wrapText="1"/>
    </xf>
    <xf numFmtId="10" fontId="53" fillId="0" borderId="98" xfId="3" applyNumberFormat="1" applyFont="1" applyBorder="1" applyAlignment="1">
      <alignment horizontal="left" vertical="top" wrapText="1"/>
    </xf>
    <xf numFmtId="10" fontId="53" fillId="0" borderId="99" xfId="3" applyNumberFormat="1" applyFont="1" applyBorder="1" applyAlignment="1">
      <alignment horizontal="left" vertical="top" wrapText="1"/>
    </xf>
    <xf numFmtId="10" fontId="53" fillId="0" borderId="100" xfId="3" applyNumberFormat="1" applyFont="1" applyBorder="1" applyAlignment="1">
      <alignment horizontal="left" vertical="top" wrapText="1"/>
    </xf>
    <xf numFmtId="10" fontId="53" fillId="0" borderId="101" xfId="3" applyNumberFormat="1" applyFont="1" applyBorder="1" applyAlignment="1">
      <alignment horizontal="left" vertical="top" wrapText="1"/>
    </xf>
    <xf numFmtId="0" fontId="37" fillId="2" borderId="24" xfId="3" applyFont="1" applyFill="1" applyBorder="1" applyAlignment="1">
      <alignment horizontal="center" vertical="center" wrapText="1"/>
    </xf>
    <xf numFmtId="0" fontId="37" fillId="2" borderId="0" xfId="3" applyFont="1" applyFill="1" applyBorder="1" applyAlignment="1">
      <alignment horizontal="center" vertical="center" wrapText="1"/>
    </xf>
    <xf numFmtId="0" fontId="37" fillId="2" borderId="60" xfId="3" applyFont="1" applyFill="1" applyBorder="1" applyAlignment="1">
      <alignment horizontal="center" vertical="center" wrapText="1"/>
    </xf>
    <xf numFmtId="0" fontId="20" fillId="6" borderId="15" xfId="1" quotePrefix="1" applyNumberFormat="1" applyFont="1" applyFill="1" applyBorder="1" applyAlignment="1">
      <alignment vertical="center" wrapText="1"/>
    </xf>
    <xf numFmtId="0" fontId="20" fillId="6" borderId="17" xfId="1" quotePrefix="1" applyNumberFormat="1" applyFont="1" applyFill="1" applyBorder="1" applyAlignment="1">
      <alignment vertical="center" wrapText="1"/>
    </xf>
    <xf numFmtId="0" fontId="20" fillId="6" borderId="16" xfId="1" quotePrefix="1" applyNumberFormat="1" applyFont="1" applyFill="1" applyBorder="1" applyAlignment="1">
      <alignment vertical="center" wrapText="1"/>
    </xf>
    <xf numFmtId="0" fontId="19" fillId="6" borderId="5" xfId="3" quotePrefix="1" applyFont="1" applyFill="1" applyBorder="1" applyAlignment="1">
      <alignment horizontal="left" vertical="center" wrapText="1"/>
    </xf>
    <xf numFmtId="0" fontId="19" fillId="6" borderId="6" xfId="3" quotePrefix="1" applyFont="1" applyFill="1" applyBorder="1" applyAlignment="1">
      <alignment horizontal="left" vertical="center" wrapText="1"/>
    </xf>
    <xf numFmtId="0" fontId="19" fillId="6" borderId="7" xfId="3" quotePrefix="1" applyFont="1" applyFill="1" applyBorder="1" applyAlignment="1">
      <alignment horizontal="left" vertical="center" wrapText="1"/>
    </xf>
    <xf numFmtId="0" fontId="19" fillId="6" borderId="15" xfId="1" quotePrefix="1" applyNumberFormat="1" applyFont="1" applyFill="1" applyBorder="1" applyAlignment="1">
      <alignment horizontal="left" vertical="center" wrapText="1"/>
    </xf>
    <xf numFmtId="0" fontId="19" fillId="6" borderId="17" xfId="1" quotePrefix="1" applyNumberFormat="1" applyFont="1" applyFill="1" applyBorder="1" applyAlignment="1">
      <alignment horizontal="left" vertical="center" wrapText="1"/>
    </xf>
    <xf numFmtId="0" fontId="19" fillId="6" borderId="16" xfId="1" quotePrefix="1" applyNumberFormat="1" applyFont="1" applyFill="1" applyBorder="1" applyAlignment="1">
      <alignment horizontal="left" vertical="center" wrapText="1"/>
    </xf>
    <xf numFmtId="0" fontId="22" fillId="3" borderId="23" xfId="1" quotePrefix="1" applyNumberFormat="1" applyFont="1" applyFill="1" applyBorder="1" applyAlignment="1">
      <alignment horizontal="left" vertical="center" wrapText="1"/>
    </xf>
    <xf numFmtId="0" fontId="22" fillId="3" borderId="19" xfId="1" quotePrefix="1" applyNumberFormat="1" applyFont="1" applyFill="1" applyBorder="1" applyAlignment="1">
      <alignment horizontal="left" vertical="center" wrapText="1"/>
    </xf>
    <xf numFmtId="0" fontId="22" fillId="3" borderId="18" xfId="1" quotePrefix="1" applyNumberFormat="1" applyFont="1" applyFill="1" applyBorder="1" applyAlignment="1">
      <alignment horizontal="left" vertical="center" wrapText="1"/>
    </xf>
    <xf numFmtId="0" fontId="37" fillId="0" borderId="0" xfId="3" quotePrefix="1" applyFont="1" applyBorder="1" applyAlignment="1">
      <alignment horizontal="center" vertical="center" wrapText="1"/>
    </xf>
    <xf numFmtId="0" fontId="37" fillId="0" borderId="60" xfId="3" quotePrefix="1" applyFont="1" applyBorder="1" applyAlignment="1">
      <alignment horizontal="center" vertical="center" wrapText="1"/>
    </xf>
    <xf numFmtId="0" fontId="57" fillId="0" borderId="90" xfId="0" applyFont="1" applyBorder="1" applyAlignment="1">
      <alignment horizontal="center" vertical="center" wrapText="1"/>
    </xf>
    <xf numFmtId="0" fontId="57" fillId="0" borderId="66" xfId="0" applyFont="1" applyBorder="1" applyAlignment="1">
      <alignment horizontal="center" vertical="center" wrapText="1"/>
    </xf>
    <xf numFmtId="0" fontId="57" fillId="0" borderId="108" xfId="0" applyFont="1" applyBorder="1" applyAlignment="1">
      <alignment horizontal="center" vertical="center" wrapText="1"/>
    </xf>
    <xf numFmtId="0" fontId="57" fillId="0" borderId="67" xfId="0" applyFont="1" applyBorder="1" applyAlignment="1">
      <alignment horizontal="center" vertical="center" wrapText="1"/>
    </xf>
    <xf numFmtId="0" fontId="57" fillId="0" borderId="68" xfId="0" applyFont="1" applyBorder="1" applyAlignment="1">
      <alignment horizontal="center" vertical="center" wrapText="1"/>
    </xf>
    <xf numFmtId="0" fontId="57" fillId="0" borderId="69" xfId="0" applyFont="1" applyBorder="1" applyAlignment="1">
      <alignment horizontal="center" vertical="center" wrapText="1"/>
    </xf>
    <xf numFmtId="0" fontId="57" fillId="0" borderId="67" xfId="0" applyFont="1" applyBorder="1" applyAlignment="1">
      <alignment horizontal="left" vertical="center" wrapText="1" indent="1"/>
    </xf>
    <xf numFmtId="0" fontId="57" fillId="0" borderId="73" xfId="0" applyFont="1" applyBorder="1" applyAlignment="1">
      <alignment horizontal="left" vertical="center" wrapText="1" indent="1"/>
    </xf>
    <xf numFmtId="0" fontId="57" fillId="0" borderId="91" xfId="0" applyFont="1" applyBorder="1" applyAlignment="1">
      <alignment horizontal="center" vertical="center" wrapText="1"/>
    </xf>
    <xf numFmtId="0" fontId="57" fillId="0" borderId="92" xfId="0" applyFont="1" applyBorder="1" applyAlignment="1">
      <alignment horizontal="center" vertical="center" wrapText="1"/>
    </xf>
    <xf numFmtId="0" fontId="57" fillId="0" borderId="110" xfId="0" applyFont="1" applyBorder="1" applyAlignment="1">
      <alignment horizontal="left" vertical="center" wrapText="1"/>
    </xf>
    <xf numFmtId="0" fontId="57" fillId="0" borderId="111" xfId="0" applyFont="1" applyBorder="1" applyAlignment="1">
      <alignment horizontal="left" vertical="center" wrapText="1"/>
    </xf>
    <xf numFmtId="0" fontId="61" fillId="0" borderId="67" xfId="0" applyFont="1" applyBorder="1" applyAlignment="1">
      <alignment horizontal="left" vertical="center" wrapText="1" indent="1"/>
    </xf>
    <xf numFmtId="0" fontId="61" fillId="0" borderId="73" xfId="0" applyFont="1" applyBorder="1" applyAlignment="1">
      <alignment horizontal="left" vertical="center" wrapText="1" indent="1"/>
    </xf>
    <xf numFmtId="0" fontId="56" fillId="13" borderId="82" xfId="0" applyFont="1" applyFill="1" applyBorder="1" applyAlignment="1">
      <alignment horizontal="center" vertical="center" wrapText="1"/>
    </xf>
    <xf numFmtId="0" fontId="56" fillId="13" borderId="83" xfId="0" applyFont="1" applyFill="1" applyBorder="1" applyAlignment="1">
      <alignment horizontal="center" vertical="center" wrapText="1"/>
    </xf>
    <xf numFmtId="0" fontId="56" fillId="13" borderId="65" xfId="0" applyFont="1" applyFill="1" applyBorder="1" applyAlignment="1">
      <alignment horizontal="center" vertical="center" wrapText="1"/>
    </xf>
    <xf numFmtId="0" fontId="56" fillId="13" borderId="74" xfId="0" applyFont="1" applyFill="1" applyBorder="1" applyAlignment="1">
      <alignment horizontal="center" vertical="center" wrapText="1"/>
    </xf>
    <xf numFmtId="0" fontId="56" fillId="14" borderId="84" xfId="0" applyFont="1" applyFill="1" applyBorder="1" applyAlignment="1">
      <alignment horizontal="center" vertical="center" wrapText="1"/>
    </xf>
    <xf numFmtId="0" fontId="56" fillId="14" borderId="82" xfId="0" applyFont="1" applyFill="1" applyBorder="1" applyAlignment="1">
      <alignment horizontal="center" vertical="center" wrapText="1"/>
    </xf>
    <xf numFmtId="0" fontId="56" fillId="13" borderId="85" xfId="0" applyFont="1" applyFill="1" applyBorder="1" applyAlignment="1">
      <alignment horizontal="center" vertical="center" wrapText="1"/>
    </xf>
    <xf numFmtId="0" fontId="56" fillId="13" borderId="87" xfId="0" applyFont="1" applyFill="1" applyBorder="1" applyAlignment="1">
      <alignment horizontal="center" vertical="center" wrapText="1"/>
    </xf>
    <xf numFmtId="0" fontId="57" fillId="0" borderId="76" xfId="0" applyFont="1" applyBorder="1" applyAlignment="1">
      <alignment horizontal="left" vertical="center" wrapText="1" indent="1"/>
    </xf>
    <xf numFmtId="0" fontId="57" fillId="0" borderId="109" xfId="0" applyFont="1" applyBorder="1" applyAlignment="1">
      <alignment horizontal="left" vertical="center" wrapText="1" indent="1"/>
    </xf>
    <xf numFmtId="0" fontId="61" fillId="0" borderId="76" xfId="0" applyFont="1" applyBorder="1" applyAlignment="1">
      <alignment horizontal="center" vertical="center" wrapText="1"/>
    </xf>
    <xf numFmtId="0" fontId="61" fillId="0" borderId="77" xfId="0" applyFont="1" applyBorder="1" applyAlignment="1">
      <alignment horizontal="center" vertical="center" wrapText="1"/>
    </xf>
    <xf numFmtId="0" fontId="61" fillId="0" borderId="78" xfId="0" applyFont="1" applyBorder="1" applyAlignment="1">
      <alignment horizontal="center" vertical="center" wrapText="1"/>
    </xf>
    <xf numFmtId="0" fontId="57" fillId="0" borderId="76" xfId="0" applyFont="1" applyBorder="1" applyAlignment="1">
      <alignment horizontal="center" vertical="center" wrapText="1"/>
    </xf>
    <xf numFmtId="0" fontId="57" fillId="0" borderId="77" xfId="0" applyFont="1" applyBorder="1" applyAlignment="1">
      <alignment horizontal="center" vertical="center" wrapText="1"/>
    </xf>
    <xf numFmtId="0" fontId="57" fillId="0" borderId="78" xfId="0" applyFont="1" applyBorder="1" applyAlignment="1">
      <alignment horizontal="center" vertical="center" wrapText="1"/>
    </xf>
    <xf numFmtId="0" fontId="56" fillId="13" borderId="81" xfId="0" applyFont="1" applyFill="1" applyBorder="1" applyAlignment="1">
      <alignment horizontal="center" vertical="center" wrapText="1"/>
    </xf>
    <xf numFmtId="0" fontId="56" fillId="13" borderId="86" xfId="0" applyFont="1" applyFill="1" applyBorder="1" applyAlignment="1">
      <alignment horizontal="center" vertical="center" wrapText="1"/>
    </xf>
    <xf numFmtId="0" fontId="56" fillId="0" borderId="76" xfId="0" applyFont="1" applyBorder="1" applyAlignment="1">
      <alignment horizontal="center" vertical="center" wrapText="1"/>
    </xf>
    <xf numFmtId="0" fontId="56" fillId="0" borderId="77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7" fillId="0" borderId="70" xfId="0" applyFont="1" applyBorder="1" applyAlignment="1">
      <alignment horizontal="center" vertical="center" wrapText="1"/>
    </xf>
    <xf numFmtId="0" fontId="57" fillId="0" borderId="88" xfId="0" applyFont="1" applyBorder="1" applyAlignment="1">
      <alignment horizontal="center" vertical="center" wrapText="1"/>
    </xf>
    <xf numFmtId="0" fontId="56" fillId="0" borderId="67" xfId="0" applyFont="1" applyBorder="1" applyAlignment="1">
      <alignment horizontal="center" vertical="center" wrapText="1"/>
    </xf>
    <xf numFmtId="0" fontId="56" fillId="0" borderId="68" xfId="0" applyFont="1" applyBorder="1" applyAlignment="1">
      <alignment horizontal="center" vertical="center" wrapText="1"/>
    </xf>
    <xf numFmtId="0" fontId="56" fillId="0" borderId="69" xfId="0" applyFont="1" applyBorder="1" applyAlignment="1">
      <alignment horizontal="center" vertical="center" wrapText="1"/>
    </xf>
    <xf numFmtId="0" fontId="61" fillId="0" borderId="89" xfId="0" quotePrefix="1" applyFont="1" applyBorder="1" applyAlignment="1">
      <alignment horizontal="left" vertical="center" wrapText="1"/>
    </xf>
    <xf numFmtId="0" fontId="61" fillId="0" borderId="87" xfId="0" applyFont="1" applyBorder="1" applyAlignment="1">
      <alignment horizontal="left" vertical="center" wrapText="1"/>
    </xf>
    <xf numFmtId="0" fontId="57" fillId="0" borderId="105" xfId="0" applyFont="1" applyBorder="1" applyAlignment="1">
      <alignment horizontal="center" vertical="center" wrapText="1"/>
    </xf>
    <xf numFmtId="0" fontId="57" fillId="0" borderId="106" xfId="0" applyFont="1" applyBorder="1" applyAlignment="1">
      <alignment horizontal="center" vertical="center" wrapText="1"/>
    </xf>
    <xf numFmtId="0" fontId="57" fillId="0" borderId="65" xfId="0" applyFont="1" applyBorder="1" applyAlignment="1">
      <alignment horizontal="center" vertical="center" wrapText="1"/>
    </xf>
    <xf numFmtId="0" fontId="59" fillId="16" borderId="94" xfId="0" applyFont="1" applyFill="1" applyBorder="1" applyAlignment="1">
      <alignment horizontal="center" vertical="center"/>
    </xf>
    <xf numFmtId="0" fontId="59" fillId="16" borderId="95" xfId="0" applyFont="1" applyFill="1" applyBorder="1" applyAlignment="1">
      <alignment horizontal="center" vertical="center"/>
    </xf>
    <xf numFmtId="41" fontId="37" fillId="0" borderId="2" xfId="0" applyNumberFormat="1" applyFont="1" applyFill="1" applyBorder="1" applyAlignment="1">
      <alignment horizontal="center" vertical="center" wrapText="1"/>
    </xf>
    <xf numFmtId="41" fontId="37" fillId="0" borderId="0" xfId="0" applyNumberFormat="1" applyFont="1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 vertical="center"/>
    </xf>
    <xf numFmtId="0" fontId="37" fillId="17" borderId="6" xfId="3" applyFont="1" applyFill="1" applyBorder="1" applyAlignment="1">
      <alignment horizontal="center" vertical="center" wrapText="1"/>
    </xf>
    <xf numFmtId="0" fontId="37" fillId="17" borderId="7" xfId="3" applyFont="1" applyFill="1" applyBorder="1" applyAlignment="1">
      <alignment horizontal="center" vertical="center" wrapText="1"/>
    </xf>
    <xf numFmtId="0" fontId="22" fillId="6" borderId="5" xfId="1" quotePrefix="1" applyNumberFormat="1" applyFont="1" applyFill="1" applyBorder="1" applyAlignment="1">
      <alignment horizontal="left" vertical="center" wrapText="1"/>
    </xf>
  </cellXfs>
  <cellStyles count="10">
    <cellStyle name="백분율" xfId="2" builtinId="5"/>
    <cellStyle name="쉼표 [0]" xfId="1" builtinId="6"/>
    <cellStyle name="쉼표 [0] 16" xfId="6"/>
    <cellStyle name="쉼표 [0] 2" xfId="4"/>
    <cellStyle name="표준" xfId="0" builtinId="0"/>
    <cellStyle name="표준 2 2" xfId="7"/>
    <cellStyle name="표준 2 2 10" xfId="8"/>
    <cellStyle name="표준 62" xfId="9"/>
    <cellStyle name="표준 65" xfId="5"/>
    <cellStyle name="표준_★HIT 표준견적서_V2" xfId="3"/>
  </cellStyles>
  <dxfs count="38"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strike val="0"/>
        <color auto="1"/>
      </font>
      <fill>
        <patternFill patternType="none">
          <bgColor auto="1"/>
        </patternFill>
      </fill>
    </dxf>
    <dxf>
      <font>
        <b/>
        <i val="0"/>
        <strike val="0"/>
        <color auto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97CC"/>
      <color rgb="FFED7D31"/>
      <color rgb="FF539BD5"/>
      <color rgb="FF00B0F0"/>
      <color rgb="FF538DD5"/>
      <color rgb="FFE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7" Type="http://schemas.openxmlformats.org/officeDocument/2006/relationships/image" Target="../media/image10.png"/><Relationship Id="rId2" Type="http://schemas.openxmlformats.org/officeDocument/2006/relationships/image" Target="../media/image5.emf"/><Relationship Id="rId1" Type="http://schemas.openxmlformats.org/officeDocument/2006/relationships/image" Target="../media/image4.png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383761</xdr:colOff>
      <xdr:row>21</xdr:row>
      <xdr:rowOff>160867</xdr:rowOff>
    </xdr:from>
    <xdr:to>
      <xdr:col>15</xdr:col>
      <xdr:colOff>311571</xdr:colOff>
      <xdr:row>45</xdr:row>
      <xdr:rowOff>214660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23" t="39659"/>
        <a:stretch/>
      </xdr:blipFill>
      <xdr:spPr>
        <a:xfrm>
          <a:off x="2060161" y="5494867"/>
          <a:ext cx="5448077" cy="5811126"/>
        </a:xfrm>
        <a:prstGeom prst="rect">
          <a:avLst/>
        </a:prstGeom>
        <a:solidFill>
          <a:srgbClr val="FFFFFF"/>
        </a:solidFill>
      </xdr:spPr>
    </xdr:pic>
    <xdr:clientData/>
  </xdr:twoCellAnchor>
  <xdr:twoCellAnchor editAs="oneCell">
    <xdr:from>
      <xdr:col>0</xdr:col>
      <xdr:colOff>80434</xdr:colOff>
      <xdr:row>0</xdr:row>
      <xdr:rowOff>31750</xdr:rowOff>
    </xdr:from>
    <xdr:to>
      <xdr:col>15</xdr:col>
      <xdr:colOff>309033</xdr:colOff>
      <xdr:row>10</xdr:row>
      <xdr:rowOff>79374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6" t="1045" r="21245" b="60862"/>
        <a:stretch/>
      </xdr:blipFill>
      <xdr:spPr>
        <a:xfrm>
          <a:off x="80434" y="31750"/>
          <a:ext cx="7378699" cy="2587624"/>
        </a:xfrm>
        <a:prstGeom prst="rect">
          <a:avLst/>
        </a:prstGeom>
        <a:solidFill>
          <a:srgbClr val="FFFFFF"/>
        </a:solidFill>
      </xdr:spPr>
    </xdr:pic>
    <xdr:clientData/>
  </xdr:twoCellAnchor>
  <xdr:twoCellAnchor editAs="oneCell">
    <xdr:from>
      <xdr:col>4</xdr:col>
      <xdr:colOff>307334</xdr:colOff>
      <xdr:row>6</xdr:row>
      <xdr:rowOff>194717</xdr:rowOff>
    </xdr:from>
    <xdr:to>
      <xdr:col>11</xdr:col>
      <xdr:colOff>36606</xdr:colOff>
      <xdr:row>9</xdr:row>
      <xdr:rowOff>111878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3734" y="1737767"/>
          <a:ext cx="3196372" cy="688686"/>
        </a:xfrm>
        <a:prstGeom prst="rect">
          <a:avLst/>
        </a:prstGeom>
      </xdr:spPr>
    </xdr:pic>
    <xdr:clientData/>
  </xdr:twoCellAnchor>
  <xdr:twoCellAnchor>
    <xdr:from>
      <xdr:col>0</xdr:col>
      <xdr:colOff>93134</xdr:colOff>
      <xdr:row>5</xdr:row>
      <xdr:rowOff>216972</xdr:rowOff>
    </xdr:from>
    <xdr:to>
      <xdr:col>15</xdr:col>
      <xdr:colOff>287867</xdr:colOff>
      <xdr:row>5</xdr:row>
      <xdr:rowOff>235408</xdr:rowOff>
    </xdr:to>
    <xdr:sp macro="" textlink="">
      <xdr:nvSpPr>
        <xdr:cNvPr id="7" name="Shape 65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 flipV="1">
          <a:off x="93134" y="1486972"/>
          <a:ext cx="7391400" cy="18436"/>
        </a:xfrm>
        <a:prstGeom prst="line">
          <a:avLst/>
        </a:prstGeom>
        <a:noFill/>
        <a:ln w="28575">
          <a:gradFill flip="none" rotWithShape="1">
            <a:gsLst>
              <a:gs pos="100000">
                <a:srgbClr val="0AAAFF"/>
              </a:gs>
              <a:gs pos="0">
                <a:srgbClr val="8169FF"/>
              </a:gs>
            </a:gsLst>
            <a:lin ang="0" scaled="1"/>
            <a:tileRect/>
          </a:gradFill>
          <a:miter lim="4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50800" tIns="50800" rIns="50800" bIns="50800" anchor="ctr"/>
        <a:lstStyle>
          <a:defPPr>
            <a:defRPr lang="ko-KR"/>
          </a:defPPr>
          <a:lvl1pPr marL="0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504191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008382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512573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16764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20955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025146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529337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033528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353" latinLnBrk="1"/>
          <a:endParaRPr lang="ko-KR" altLang="en-US" sz="900">
            <a:solidFill>
              <a:prstClr val="black"/>
            </a:solidFill>
            <a:latin typeface="[더존] 본문체 30" panose="020B0603000000000000" pitchFamily="50" charset="-127"/>
            <a:ea typeface="[더존] 본문체 30" panose="020B0603000000000000" pitchFamily="50" charset="-127"/>
          </a:endParaRPr>
        </a:p>
      </xdr:txBody>
    </xdr:sp>
    <xdr:clientData/>
  </xdr:twoCellAnchor>
  <xdr:twoCellAnchor>
    <xdr:from>
      <xdr:col>10</xdr:col>
      <xdr:colOff>3330</xdr:colOff>
      <xdr:row>15</xdr:row>
      <xdr:rowOff>133912</xdr:rowOff>
    </xdr:from>
    <xdr:to>
      <xdr:col>16</xdr:col>
      <xdr:colOff>317498</xdr:colOff>
      <xdr:row>17</xdr:row>
      <xdr:rowOff>59749</xdr:rowOff>
    </xdr:to>
    <xdr:sp macro="" textlink="">
      <xdr:nvSpPr>
        <xdr:cNvPr id="10" name="TextBox 2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676930" y="3943912"/>
          <a:ext cx="3184368" cy="43383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504191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008382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512573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16764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20955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025146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529337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033528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00"/>
            </a:lnSpc>
            <a:defRPr sz="1000"/>
          </a:pPr>
          <a:r>
            <a:rPr lang="en-US" altLang="ko-KR" sz="1100">
              <a:solidFill>
                <a:srgbClr val="8169FF"/>
              </a:solidFill>
              <a:latin typeface="DOUZONE Title 30" panose="020B0503000000000000" pitchFamily="34" charset="-127"/>
              <a:ea typeface="DOUZONE Title 30" panose="020B0503000000000000" pitchFamily="34" charset="-127"/>
            </a:rPr>
            <a:t>Douzone Bizon Estimate statement </a:t>
          </a:r>
          <a:endParaRPr lang="ko-KR" altLang="en-US" sz="1100">
            <a:solidFill>
              <a:srgbClr val="8169FF"/>
            </a:solidFill>
            <a:latin typeface="DOUZONE Title 30" panose="020B0503000000000000" pitchFamily="34" charset="-127"/>
            <a:ea typeface="DOUZONE Title 30" panose="020B0503000000000000" pitchFamily="34" charset="-127"/>
          </a:endParaRPr>
        </a:p>
      </xdr:txBody>
    </xdr:sp>
    <xdr:clientData/>
  </xdr:twoCellAnchor>
  <xdr:twoCellAnchor editAs="oneCell">
    <xdr:from>
      <xdr:col>1</xdr:col>
      <xdr:colOff>12203</xdr:colOff>
      <xdr:row>42</xdr:row>
      <xdr:rowOff>122890</xdr:rowOff>
    </xdr:from>
    <xdr:to>
      <xdr:col>3</xdr:col>
      <xdr:colOff>100236</xdr:colOff>
      <xdr:row>43</xdr:row>
      <xdr:rowOff>48748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603" y="10553823"/>
          <a:ext cx="985500" cy="145992"/>
        </a:xfrm>
        <a:prstGeom prst="rect">
          <a:avLst/>
        </a:prstGeom>
      </xdr:spPr>
    </xdr:pic>
    <xdr:clientData/>
  </xdr:twoCellAnchor>
  <xdr:twoCellAnchor>
    <xdr:from>
      <xdr:col>1</xdr:col>
      <xdr:colOff>12203</xdr:colOff>
      <xdr:row>43</xdr:row>
      <xdr:rowOff>113884</xdr:rowOff>
    </xdr:from>
    <xdr:to>
      <xdr:col>6</xdr:col>
      <xdr:colOff>185185</xdr:colOff>
      <xdr:row>44</xdr:row>
      <xdr:rowOff>39743</xdr:rowOff>
    </xdr:to>
    <xdr:sp macro="" textlink="">
      <xdr:nvSpPr>
        <xdr:cNvPr id="12" name="TextBox 1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91603" y="10764951"/>
          <a:ext cx="2569049" cy="145992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ko-KR"/>
          </a:defPPr>
          <a:lvl1pPr marL="0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504191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008382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512573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16764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20955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025146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529337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033528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ct val="130000"/>
            </a:lnSpc>
          </a:pPr>
          <a:r>
            <a:rPr lang="en-US" altLang="ko-KR" sz="750">
              <a:latin typeface="[더존] 본문체 30" panose="020B0603000000000000" pitchFamily="50" charset="-127"/>
              <a:ea typeface="[더존] 본문체 30" panose="020B0603000000000000" pitchFamily="50" charset="-127"/>
            </a:rPr>
            <a:t>Copyright</a:t>
          </a:r>
          <a:r>
            <a:rPr lang="en-US" altLang="ko-KR" sz="750" baseline="0"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750" baseline="0">
              <a:latin typeface="[더존] 본문체 30" panose="020B0603000000000000" pitchFamily="50" charset="-127"/>
              <a:ea typeface="[더존] 본문체 30" panose="020B0603000000000000" pitchFamily="50" charset="-127"/>
            </a:rPr>
            <a:t>ⓒ </a:t>
          </a:r>
          <a:r>
            <a:rPr lang="en-US" altLang="ko-KR" sz="750" baseline="0">
              <a:latin typeface="[더존] 본문체 30" panose="020B0603000000000000" pitchFamily="50" charset="-127"/>
              <a:ea typeface="[더존] 본문체 30" panose="020B0603000000000000" pitchFamily="50" charset="-127"/>
            </a:rPr>
            <a:t>DOUZONE BIZON. All rights reserved.</a:t>
          </a:r>
          <a:endParaRPr lang="ko-KR" altLang="en-US" sz="750">
            <a:latin typeface="[더존] 본문체 30" panose="020B0603000000000000" pitchFamily="50" charset="-127"/>
            <a:ea typeface="[더존] 본문체 30" panose="020B0603000000000000" pitchFamily="50" charset="-127"/>
          </a:endParaRPr>
        </a:p>
      </xdr:txBody>
    </xdr:sp>
    <xdr:clientData/>
  </xdr:twoCellAnchor>
  <xdr:twoCellAnchor>
    <xdr:from>
      <xdr:col>0</xdr:col>
      <xdr:colOff>84664</xdr:colOff>
      <xdr:row>15</xdr:row>
      <xdr:rowOff>157705</xdr:rowOff>
    </xdr:from>
    <xdr:to>
      <xdr:col>15</xdr:col>
      <xdr:colOff>279397</xdr:colOff>
      <xdr:row>15</xdr:row>
      <xdr:rowOff>176141</xdr:rowOff>
    </xdr:to>
    <xdr:sp macro="" textlink="">
      <xdr:nvSpPr>
        <xdr:cNvPr id="13" name="Shape 65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 flipV="1">
          <a:off x="84664" y="3967705"/>
          <a:ext cx="7391400" cy="18436"/>
        </a:xfrm>
        <a:prstGeom prst="line">
          <a:avLst/>
        </a:prstGeom>
        <a:noFill/>
        <a:ln w="28575">
          <a:gradFill flip="none" rotWithShape="1">
            <a:gsLst>
              <a:gs pos="100000">
                <a:srgbClr val="0AAAFF"/>
              </a:gs>
              <a:gs pos="0">
                <a:srgbClr val="8169FF"/>
              </a:gs>
            </a:gsLst>
            <a:lin ang="0" scaled="1"/>
            <a:tileRect/>
          </a:gradFill>
          <a:miter lim="4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lIns="50800" tIns="50800" rIns="50800" bIns="50800" anchor="ctr"/>
        <a:lstStyle>
          <a:defPPr>
            <a:defRPr lang="ko-KR"/>
          </a:defPPr>
          <a:lvl1pPr marL="0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504191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008382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512573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16764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20955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025146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529337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033528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353" latinLnBrk="1"/>
          <a:endParaRPr lang="ko-KR" altLang="en-US" sz="900">
            <a:solidFill>
              <a:prstClr val="black"/>
            </a:solidFill>
            <a:latin typeface="[더존] 본문체 30" panose="020B0603000000000000" pitchFamily="50" charset="-127"/>
            <a:ea typeface="[더존] 본문체 30" panose="020B0603000000000000" pitchFamily="50" charset="-127"/>
          </a:endParaRPr>
        </a:p>
      </xdr:txBody>
    </xdr:sp>
    <xdr:clientData/>
  </xdr:twoCellAnchor>
  <xdr:twoCellAnchor>
    <xdr:from>
      <xdr:col>1</xdr:col>
      <xdr:colOff>232832</xdr:colOff>
      <xdr:row>12</xdr:row>
      <xdr:rowOff>16933</xdr:rowOff>
    </xdr:from>
    <xdr:to>
      <xdr:col>13</xdr:col>
      <xdr:colOff>622299</xdr:colOff>
      <xdr:row>15</xdr:row>
      <xdr:rowOff>14693</xdr:rowOff>
    </xdr:to>
    <xdr:sp macro="" textlink="">
      <xdr:nvSpPr>
        <xdr:cNvPr id="14" name="TextBox 1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12232" y="3064933"/>
          <a:ext cx="6244167" cy="7597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504191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008382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512573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16764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20955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025146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529337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033528" algn="l" defTabSz="1008382" rtl="0" eaLnBrk="1" latinLnBrk="1" hangingPunct="1">
            <a:defRPr sz="1985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x-none" altLang="en-US" sz="3200">
              <a:latin typeface="[더존] 제목체 50" panose="020B0803000000000000" pitchFamily="50" charset="-127"/>
              <a:ea typeface="[더존] 제목체 50" panose="020B0803000000000000" pitchFamily="50" charset="-127"/>
              <a:cs typeface="+mj-cs"/>
            </a:rPr>
            <a:t>가격제안서</a:t>
          </a:r>
          <a:r>
            <a:rPr lang="en-US" altLang="en-US" sz="3200">
              <a:latin typeface="[더존] 제목체 50" panose="020B0803000000000000" pitchFamily="50" charset="-127"/>
              <a:ea typeface="[더존] 제목체 50" panose="020B0803000000000000" pitchFamily="50" charset="-127"/>
              <a:cs typeface="+mj-cs"/>
            </a:rPr>
            <a:t>_</a:t>
          </a:r>
          <a:r>
            <a:rPr lang="ko-KR" altLang="en-US" sz="3200">
              <a:latin typeface="[더존] 제목체 50" panose="020B0803000000000000" pitchFamily="50" charset="-127"/>
              <a:ea typeface="[더존] 제목체 50" panose="020B0803000000000000" pitchFamily="50" charset="-127"/>
              <a:cs typeface="+mj-cs"/>
            </a:rPr>
            <a:t>클라우드형</a:t>
          </a:r>
          <a:endParaRPr lang="x-none" altLang="en-US" sz="3200">
            <a:latin typeface="[더존] 제목체 50" panose="020B0803000000000000" pitchFamily="50" charset="-127"/>
            <a:ea typeface="[더존] 제목체 50" panose="020B0803000000000000" pitchFamily="50" charset="-127"/>
            <a:cs typeface="+mj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111125</xdr:rowOff>
    </xdr:from>
    <xdr:to>
      <xdr:col>14</xdr:col>
      <xdr:colOff>1714500</xdr:colOff>
      <xdr:row>2</xdr:row>
      <xdr:rowOff>944812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20287" y="796925"/>
          <a:ext cx="23410273" cy="833687"/>
        </a:xfrm>
        <a:prstGeom prst="roundRect">
          <a:avLst>
            <a:gd name="adj" fmla="val 0"/>
          </a:avLst>
        </a:prstGeom>
        <a:noFill/>
        <a:ln w="19050">
          <a:noFill/>
          <a:round/>
          <a:headEnd/>
          <a:tailEnd/>
        </a:ln>
      </xdr:spPr>
      <xdr:txBody>
        <a:bodyPr vertOverflow="clip" wrap="square" lIns="91440" tIns="45720" rIns="91440" bIns="45720" anchor="b" upright="1"/>
        <a:lstStyle/>
        <a:p>
          <a:pPr algn="ctr" rtl="0">
            <a:lnSpc>
              <a:spcPts val="2900"/>
            </a:lnSpc>
            <a:defRPr sz="1000"/>
          </a:pPr>
          <a:r>
            <a:rPr lang="en-US" altLang="ko-KR" sz="4400" b="0" i="0" u="none" strike="noStrike" baseline="0">
              <a:solidFill>
                <a:schemeClr val="bg1"/>
              </a:solidFill>
              <a:latin typeface="[더존] 제목체 50" panose="020B0803000000000000" pitchFamily="50" charset="-127"/>
              <a:ea typeface="[더존] 제목체 50" panose="020B0803000000000000" pitchFamily="50" charset="-127"/>
            </a:rPr>
            <a:t>Amaranth10 Cloud </a:t>
          </a:r>
          <a:r>
            <a:rPr lang="ko-KR" altLang="en-US" sz="4400" b="0" i="0" u="none" strike="noStrike" baseline="0">
              <a:solidFill>
                <a:schemeClr val="bg1"/>
              </a:solidFill>
              <a:latin typeface="[더존] 제목체 50" panose="020B0803000000000000" pitchFamily="50" charset="-127"/>
              <a:ea typeface="[더존] 제목체 50" panose="020B0803000000000000" pitchFamily="50" charset="-127"/>
            </a:rPr>
            <a:t>가격제안서</a:t>
          </a:r>
        </a:p>
      </xdr:txBody>
    </xdr:sp>
    <xdr:clientData/>
  </xdr:twoCellAnchor>
  <xdr:twoCellAnchor>
    <xdr:from>
      <xdr:col>0</xdr:col>
      <xdr:colOff>103414</xdr:colOff>
      <xdr:row>2</xdr:row>
      <xdr:rowOff>945102</xdr:rowOff>
    </xdr:from>
    <xdr:to>
      <xdr:col>17</xdr:col>
      <xdr:colOff>27214</xdr:colOff>
      <xdr:row>2</xdr:row>
      <xdr:rowOff>1481380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03414" y="1630902"/>
          <a:ext cx="24109680" cy="536278"/>
        </a:xfrm>
        <a:prstGeom prst="roundRect">
          <a:avLst>
            <a:gd name="adj" fmla="val 0"/>
          </a:avLst>
        </a:prstGeom>
        <a:noFill/>
        <a:ln w="19050">
          <a:noFill/>
          <a:round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2900"/>
            </a:lnSpc>
            <a:defRPr sz="1000"/>
          </a:pPr>
          <a:r>
            <a:rPr lang="en-US" altLang="ko-KR" sz="1400" b="0" i="0" u="none" strike="noStrike" baseline="0">
              <a:solidFill>
                <a:schemeClr val="bg1"/>
              </a:solidFill>
              <a:latin typeface="[더존] 제목체 50" panose="020B0803000000000000" pitchFamily="50" charset="-127"/>
              <a:ea typeface="[더존] 제목체 50" panose="020B0803000000000000" pitchFamily="50" charset="-127"/>
            </a:rPr>
            <a:t>DOUZONE Bizon Estimate statement </a:t>
          </a:r>
          <a:endParaRPr lang="ko-KR" altLang="en-US" sz="1400" b="0" i="0" u="none" strike="noStrike" baseline="0">
            <a:solidFill>
              <a:schemeClr val="bg1"/>
            </a:solidFill>
            <a:latin typeface="[더존] 제목체 50" panose="020B0803000000000000" pitchFamily="50" charset="-127"/>
            <a:ea typeface="[더존] 제목체 50" panose="020B0803000000000000" pitchFamily="50" charset="-127"/>
          </a:endParaRPr>
        </a:p>
      </xdr:txBody>
    </xdr:sp>
    <xdr:clientData/>
  </xdr:twoCellAnchor>
  <xdr:twoCellAnchor editAs="oneCell">
    <xdr:from>
      <xdr:col>14</xdr:col>
      <xdr:colOff>852098</xdr:colOff>
      <xdr:row>3</xdr:row>
      <xdr:rowOff>124889</xdr:rowOff>
    </xdr:from>
    <xdr:to>
      <xdr:col>14</xdr:col>
      <xdr:colOff>2758595</xdr:colOff>
      <xdr:row>3</xdr:row>
      <xdr:rowOff>402978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78643" y="2168434"/>
          <a:ext cx="1906497" cy="2780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6" name="Object 29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7" name="Object 30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8" name="Object 31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9" name="Object 32" hidden="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10" name="Object 33" hidden="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11" name="Object 34" hidden="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12" name="Object 35" hidden="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13" name="Object 36" hidden="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14" name="Object 37" hidden="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15" name="Object 38" hidden="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16" name="Object 39" hidden="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17" name="Object 40" hidden="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18" name="Object 41" hidden="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19" name="Object 42" hidden="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21" name="Object 29" hidden="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22" name="Object 30" hidden="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23" name="Object 31" hidden="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24" name="Object 32" hidden="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25" name="Object 33" hidden="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26" name="Object 34" hidden="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27" name="Object 35" hidden="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28" name="Object 36" hidden="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29" name="Object 37" hidden="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30" name="Object 38" hidden="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31" name="Object 39" hidden="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32" name="Object 40" hidden="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33" name="Object 41" hidden="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17</xdr:col>
      <xdr:colOff>522389</xdr:colOff>
      <xdr:row>18</xdr:row>
      <xdr:rowOff>180975</xdr:rowOff>
    </xdr:to>
    <xdr:pic>
      <xdr:nvPicPr>
        <xdr:cNvPr id="34" name="Object 42" hidden="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0160" y="8427720"/>
          <a:ext cx="734117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17318</xdr:colOff>
      <xdr:row>0</xdr:row>
      <xdr:rowOff>200892</xdr:rowOff>
    </xdr:from>
    <xdr:to>
      <xdr:col>18</xdr:col>
      <xdr:colOff>1905000</xdr:colOff>
      <xdr:row>2</xdr:row>
      <xdr:rowOff>1385455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27" y="200892"/>
          <a:ext cx="21543818" cy="1738745"/>
        </a:xfrm>
        <a:prstGeom prst="rect">
          <a:avLst/>
        </a:prstGeom>
        <a:gradFill>
          <a:gsLst>
            <a:gs pos="0">
              <a:srgbClr val="8275FF"/>
            </a:gs>
            <a:gs pos="100000">
              <a:srgbClr val="02AEFF"/>
            </a:gs>
          </a:gsLst>
          <a:lin ang="0" scaled="0"/>
        </a:gradFill>
      </xdr:spPr>
    </xdr:pic>
    <xdr:clientData/>
  </xdr:twoCellAnchor>
  <xdr:twoCellAnchor>
    <xdr:from>
      <xdr:col>0</xdr:col>
      <xdr:colOff>1</xdr:colOff>
      <xdr:row>2</xdr:row>
      <xdr:rowOff>83128</xdr:rowOff>
    </xdr:from>
    <xdr:to>
      <xdr:col>15</xdr:col>
      <xdr:colOff>31751</xdr:colOff>
      <xdr:row>2</xdr:row>
      <xdr:rowOff>916815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1" y="781628"/>
          <a:ext cx="24288750" cy="833687"/>
        </a:xfrm>
        <a:prstGeom prst="roundRect">
          <a:avLst>
            <a:gd name="adj" fmla="val 0"/>
          </a:avLst>
        </a:prstGeom>
        <a:noFill/>
        <a:ln w="19050">
          <a:noFill/>
          <a:round/>
          <a:headEnd/>
          <a:tailEnd/>
        </a:ln>
      </xdr:spPr>
      <xdr:txBody>
        <a:bodyPr vertOverflow="clip" wrap="square" lIns="91440" tIns="45720" rIns="91440" bIns="45720" anchor="b" upright="1"/>
        <a:lstStyle/>
        <a:p>
          <a:pPr algn="ctr" rtl="0">
            <a:lnSpc>
              <a:spcPts val="2900"/>
            </a:lnSpc>
            <a:defRPr sz="1000"/>
          </a:pPr>
          <a:r>
            <a:rPr lang="en-US" altLang="ko-KR" sz="4400" b="0" i="0" u="none" strike="noStrike" baseline="0">
              <a:solidFill>
                <a:schemeClr val="bg1"/>
              </a:solidFill>
              <a:latin typeface="[더존] 제목체 50" panose="020B0803000000000000" pitchFamily="50" charset="-127"/>
              <a:ea typeface="[더존] 제목체 50" panose="020B0803000000000000" pitchFamily="50" charset="-127"/>
            </a:rPr>
            <a:t>Amaranth 10 Cloud </a:t>
          </a:r>
          <a:r>
            <a:rPr lang="ko-KR" altLang="en-US" sz="4400" b="0" i="0" u="none" strike="noStrike" baseline="0">
              <a:solidFill>
                <a:schemeClr val="bg1"/>
              </a:solidFill>
              <a:latin typeface="[더존] 제목체 50" panose="020B0803000000000000" pitchFamily="50" charset="-127"/>
              <a:ea typeface="[더존] 제목체 50" panose="020B0803000000000000" pitchFamily="50" charset="-127"/>
            </a:rPr>
            <a:t>가격제안서</a:t>
          </a:r>
        </a:p>
      </xdr:txBody>
    </xdr:sp>
    <xdr:clientData/>
  </xdr:twoCellAnchor>
  <xdr:twoCellAnchor>
    <xdr:from>
      <xdr:col>0</xdr:col>
      <xdr:colOff>0</xdr:colOff>
      <xdr:row>2</xdr:row>
      <xdr:rowOff>815399</xdr:rowOff>
    </xdr:from>
    <xdr:to>
      <xdr:col>15</xdr:col>
      <xdr:colOff>15875</xdr:colOff>
      <xdr:row>2</xdr:row>
      <xdr:rowOff>1351677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0" y="1513899"/>
          <a:ext cx="24272875" cy="536278"/>
        </a:xfrm>
        <a:prstGeom prst="roundRect">
          <a:avLst>
            <a:gd name="adj" fmla="val 0"/>
          </a:avLst>
        </a:prstGeom>
        <a:noFill/>
        <a:ln w="19050">
          <a:noFill/>
          <a:round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2900"/>
            </a:lnSpc>
            <a:defRPr sz="1000"/>
          </a:pPr>
          <a:r>
            <a:rPr lang="en-US" altLang="ko-KR" sz="1400" b="0" i="0" u="none" strike="noStrike" baseline="0">
              <a:solidFill>
                <a:schemeClr val="bg1"/>
              </a:solidFill>
              <a:latin typeface="[더존] 제목체 50" panose="020B0803000000000000" pitchFamily="50" charset="-127"/>
              <a:ea typeface="[더존] 제목체 50" panose="020B0803000000000000" pitchFamily="50" charset="-127"/>
            </a:rPr>
            <a:t>DOUZONE Bizon Estimate statement </a:t>
          </a:r>
          <a:endParaRPr lang="ko-KR" altLang="en-US" sz="1400" b="0" i="0" u="none" strike="noStrike" baseline="0">
            <a:solidFill>
              <a:schemeClr val="bg1"/>
            </a:solidFill>
            <a:latin typeface="[더존] 제목체 50" panose="020B0803000000000000" pitchFamily="50" charset="-127"/>
            <a:ea typeface="[더존] 제목체 50" panose="020B0803000000000000" pitchFamily="50" charset="-127"/>
          </a:endParaRPr>
        </a:p>
      </xdr:txBody>
    </xdr:sp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37" name="Object 29" hidden="1">
          <a:extLst>
            <a:ext uri="{FF2B5EF4-FFF2-40B4-BE49-F238E27FC236}">
              <a16:creationId xmlns:a16="http://schemas.microsoft.com/office/drawing/2014/main" id="{93C442EA-DEAE-5A4B-8156-84646C8E1A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39" name="Object 30" hidden="1">
          <a:extLst>
            <a:ext uri="{FF2B5EF4-FFF2-40B4-BE49-F238E27FC236}">
              <a16:creationId xmlns:a16="http://schemas.microsoft.com/office/drawing/2014/main" id="{C8E7A399-B59E-9948-AD54-B38D7D506A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40" name="Object 31" hidden="1">
          <a:extLst>
            <a:ext uri="{FF2B5EF4-FFF2-40B4-BE49-F238E27FC236}">
              <a16:creationId xmlns:a16="http://schemas.microsoft.com/office/drawing/2014/main" id="{EA950A75-7CE9-B44B-B3AF-BD67A6644C4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41" name="Object 32" hidden="1">
          <a:extLst>
            <a:ext uri="{FF2B5EF4-FFF2-40B4-BE49-F238E27FC236}">
              <a16:creationId xmlns:a16="http://schemas.microsoft.com/office/drawing/2014/main" id="{BFA2A1E2-1124-4D49-BF62-30A90EEADC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42" name="Object 33" hidden="1">
          <a:extLst>
            <a:ext uri="{FF2B5EF4-FFF2-40B4-BE49-F238E27FC236}">
              <a16:creationId xmlns:a16="http://schemas.microsoft.com/office/drawing/2014/main" id="{610CAEB3-C906-9644-893C-266E5A53F5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43" name="Object 34" hidden="1">
          <a:extLst>
            <a:ext uri="{FF2B5EF4-FFF2-40B4-BE49-F238E27FC236}">
              <a16:creationId xmlns:a16="http://schemas.microsoft.com/office/drawing/2014/main" id="{9BD63E5E-3F00-B743-972B-701F0F573F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44" name="Object 35" hidden="1">
          <a:extLst>
            <a:ext uri="{FF2B5EF4-FFF2-40B4-BE49-F238E27FC236}">
              <a16:creationId xmlns:a16="http://schemas.microsoft.com/office/drawing/2014/main" id="{B531C8B3-9FED-8040-A8B0-2B089F3EBB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45" name="Object 36" hidden="1">
          <a:extLst>
            <a:ext uri="{FF2B5EF4-FFF2-40B4-BE49-F238E27FC236}">
              <a16:creationId xmlns:a16="http://schemas.microsoft.com/office/drawing/2014/main" id="{2774766A-C565-7348-9FB5-39675BF45A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46" name="Object 37" hidden="1">
          <a:extLst>
            <a:ext uri="{FF2B5EF4-FFF2-40B4-BE49-F238E27FC236}">
              <a16:creationId xmlns:a16="http://schemas.microsoft.com/office/drawing/2014/main" id="{FA090DC4-225B-B245-ACC4-17F5F429F1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47" name="Object 38" hidden="1">
          <a:extLst>
            <a:ext uri="{FF2B5EF4-FFF2-40B4-BE49-F238E27FC236}">
              <a16:creationId xmlns:a16="http://schemas.microsoft.com/office/drawing/2014/main" id="{FBC9D1E6-D284-7444-A4E6-A13EAF430F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48" name="Object 39" hidden="1">
          <a:extLst>
            <a:ext uri="{FF2B5EF4-FFF2-40B4-BE49-F238E27FC236}">
              <a16:creationId xmlns:a16="http://schemas.microsoft.com/office/drawing/2014/main" id="{8D34F6F7-D991-5443-AD2D-8D12F3E69E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49" name="Object 40" hidden="1">
          <a:extLst>
            <a:ext uri="{FF2B5EF4-FFF2-40B4-BE49-F238E27FC236}">
              <a16:creationId xmlns:a16="http://schemas.microsoft.com/office/drawing/2014/main" id="{D487D27A-7451-784B-91A5-8C0E6C0BB7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50" name="Object 41" hidden="1">
          <a:extLst>
            <a:ext uri="{FF2B5EF4-FFF2-40B4-BE49-F238E27FC236}">
              <a16:creationId xmlns:a16="http://schemas.microsoft.com/office/drawing/2014/main" id="{B385E2AA-E36F-2144-8A3F-845268B506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51" name="Object 42" hidden="1">
          <a:extLst>
            <a:ext uri="{FF2B5EF4-FFF2-40B4-BE49-F238E27FC236}">
              <a16:creationId xmlns:a16="http://schemas.microsoft.com/office/drawing/2014/main" id="{6E1E73D9-4525-F94B-AE6C-CC1E50BADA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52" name="Object 29" hidden="1">
          <a:extLst>
            <a:ext uri="{FF2B5EF4-FFF2-40B4-BE49-F238E27FC236}">
              <a16:creationId xmlns:a16="http://schemas.microsoft.com/office/drawing/2014/main" id="{B98920CF-D120-2141-A487-FDCFFA9989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53" name="Object 30" hidden="1">
          <a:extLst>
            <a:ext uri="{FF2B5EF4-FFF2-40B4-BE49-F238E27FC236}">
              <a16:creationId xmlns:a16="http://schemas.microsoft.com/office/drawing/2014/main" id="{A1E0BF39-4B99-8C40-B73A-B24D602A85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54" name="Object 31" hidden="1">
          <a:extLst>
            <a:ext uri="{FF2B5EF4-FFF2-40B4-BE49-F238E27FC236}">
              <a16:creationId xmlns:a16="http://schemas.microsoft.com/office/drawing/2014/main" id="{C6B8DF68-B744-3440-B259-18955C12DC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55" name="Object 32" hidden="1">
          <a:extLst>
            <a:ext uri="{FF2B5EF4-FFF2-40B4-BE49-F238E27FC236}">
              <a16:creationId xmlns:a16="http://schemas.microsoft.com/office/drawing/2014/main" id="{C64A4DBC-F2C1-3549-9A66-0A56F06221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56" name="Object 33" hidden="1">
          <a:extLst>
            <a:ext uri="{FF2B5EF4-FFF2-40B4-BE49-F238E27FC236}">
              <a16:creationId xmlns:a16="http://schemas.microsoft.com/office/drawing/2014/main" id="{CD9B9B55-8FE4-2545-8914-82003B76F4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57" name="Object 34" hidden="1">
          <a:extLst>
            <a:ext uri="{FF2B5EF4-FFF2-40B4-BE49-F238E27FC236}">
              <a16:creationId xmlns:a16="http://schemas.microsoft.com/office/drawing/2014/main" id="{7080013F-B985-E041-B162-83DBCC47D3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58" name="Object 35" hidden="1">
          <a:extLst>
            <a:ext uri="{FF2B5EF4-FFF2-40B4-BE49-F238E27FC236}">
              <a16:creationId xmlns:a16="http://schemas.microsoft.com/office/drawing/2014/main" id="{5BDD79C0-D753-374A-9314-6461D698EE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59" name="Object 36" hidden="1">
          <a:extLst>
            <a:ext uri="{FF2B5EF4-FFF2-40B4-BE49-F238E27FC236}">
              <a16:creationId xmlns:a16="http://schemas.microsoft.com/office/drawing/2014/main" id="{EDDCE803-27E2-BE42-9125-105EA1A437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60" name="Object 37" hidden="1">
          <a:extLst>
            <a:ext uri="{FF2B5EF4-FFF2-40B4-BE49-F238E27FC236}">
              <a16:creationId xmlns:a16="http://schemas.microsoft.com/office/drawing/2014/main" id="{5D5A17B4-B6D7-4045-A201-85DEC00D4D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61" name="Object 38" hidden="1">
          <a:extLst>
            <a:ext uri="{FF2B5EF4-FFF2-40B4-BE49-F238E27FC236}">
              <a16:creationId xmlns:a16="http://schemas.microsoft.com/office/drawing/2014/main" id="{174F4B4E-7D19-CA44-A381-B166E406F4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62" name="Object 39" hidden="1">
          <a:extLst>
            <a:ext uri="{FF2B5EF4-FFF2-40B4-BE49-F238E27FC236}">
              <a16:creationId xmlns:a16="http://schemas.microsoft.com/office/drawing/2014/main" id="{B9236ECC-F237-FE44-8B16-2F736300C9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63" name="Object 40" hidden="1">
          <a:extLst>
            <a:ext uri="{FF2B5EF4-FFF2-40B4-BE49-F238E27FC236}">
              <a16:creationId xmlns:a16="http://schemas.microsoft.com/office/drawing/2014/main" id="{843D8495-4C9C-0141-8B5A-65E598A47A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64" name="Object 41" hidden="1">
          <a:extLst>
            <a:ext uri="{FF2B5EF4-FFF2-40B4-BE49-F238E27FC236}">
              <a16:creationId xmlns:a16="http://schemas.microsoft.com/office/drawing/2014/main" id="{AE5F101C-61C1-D044-B09F-FC36C6A61C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17</xdr:col>
      <xdr:colOff>517513</xdr:colOff>
      <xdr:row>11</xdr:row>
      <xdr:rowOff>180975</xdr:rowOff>
    </xdr:to>
    <xdr:pic>
      <xdr:nvPicPr>
        <xdr:cNvPr id="65" name="Object 42" hidden="1">
          <a:extLst>
            <a:ext uri="{FF2B5EF4-FFF2-40B4-BE49-F238E27FC236}">
              <a16:creationId xmlns:a16="http://schemas.microsoft.com/office/drawing/2014/main" id="{5B0AB5B9-0CCB-BF4D-A137-096740001C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7150100"/>
          <a:ext cx="727971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2" name="Object 29" hidden="1">
          <a:extLst>
            <a:ext uri="{FF2B5EF4-FFF2-40B4-BE49-F238E27FC236}">
              <a16:creationId xmlns:a16="http://schemas.microsoft.com/office/drawing/2014/main" id="{C672206F-F8DD-F140-BAC2-D170F55DEE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20" name="Object 30" hidden="1">
          <a:extLst>
            <a:ext uri="{FF2B5EF4-FFF2-40B4-BE49-F238E27FC236}">
              <a16:creationId xmlns:a16="http://schemas.microsoft.com/office/drawing/2014/main" id="{C5E23102-23D6-AA44-AA54-1AEFAAF5E2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66" name="Object 31" hidden="1">
          <a:extLst>
            <a:ext uri="{FF2B5EF4-FFF2-40B4-BE49-F238E27FC236}">
              <a16:creationId xmlns:a16="http://schemas.microsoft.com/office/drawing/2014/main" id="{6A742C72-AAE2-6A41-92BC-73A3B518C4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67" name="Object 32" hidden="1">
          <a:extLst>
            <a:ext uri="{FF2B5EF4-FFF2-40B4-BE49-F238E27FC236}">
              <a16:creationId xmlns:a16="http://schemas.microsoft.com/office/drawing/2014/main" id="{652D448D-26E8-EA44-AC70-937A54240E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68" name="Object 33" hidden="1">
          <a:extLst>
            <a:ext uri="{FF2B5EF4-FFF2-40B4-BE49-F238E27FC236}">
              <a16:creationId xmlns:a16="http://schemas.microsoft.com/office/drawing/2014/main" id="{634C0174-83BF-6344-A306-6A4B99553F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69" name="Object 34" hidden="1">
          <a:extLst>
            <a:ext uri="{FF2B5EF4-FFF2-40B4-BE49-F238E27FC236}">
              <a16:creationId xmlns:a16="http://schemas.microsoft.com/office/drawing/2014/main" id="{BC0847AE-A37F-F047-817F-4F76BE00F6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70" name="Object 35" hidden="1">
          <a:extLst>
            <a:ext uri="{FF2B5EF4-FFF2-40B4-BE49-F238E27FC236}">
              <a16:creationId xmlns:a16="http://schemas.microsoft.com/office/drawing/2014/main" id="{91CD1126-0D55-2640-AC9A-0BF0394230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71" name="Object 36" hidden="1">
          <a:extLst>
            <a:ext uri="{FF2B5EF4-FFF2-40B4-BE49-F238E27FC236}">
              <a16:creationId xmlns:a16="http://schemas.microsoft.com/office/drawing/2014/main" id="{CF4EA784-EA54-4B4B-AC02-44C7C50A41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72" name="Object 37" hidden="1">
          <a:extLst>
            <a:ext uri="{FF2B5EF4-FFF2-40B4-BE49-F238E27FC236}">
              <a16:creationId xmlns:a16="http://schemas.microsoft.com/office/drawing/2014/main" id="{29903E42-FF0F-914C-A536-D0BEFA1521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73" name="Object 38" hidden="1">
          <a:extLst>
            <a:ext uri="{FF2B5EF4-FFF2-40B4-BE49-F238E27FC236}">
              <a16:creationId xmlns:a16="http://schemas.microsoft.com/office/drawing/2014/main" id="{11108699-8B00-1241-B0BD-7A5A50BE95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74" name="Object 39" hidden="1">
          <a:extLst>
            <a:ext uri="{FF2B5EF4-FFF2-40B4-BE49-F238E27FC236}">
              <a16:creationId xmlns:a16="http://schemas.microsoft.com/office/drawing/2014/main" id="{21891E54-2F97-2140-8B40-FF004174AD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75" name="Object 40" hidden="1">
          <a:extLst>
            <a:ext uri="{FF2B5EF4-FFF2-40B4-BE49-F238E27FC236}">
              <a16:creationId xmlns:a16="http://schemas.microsoft.com/office/drawing/2014/main" id="{9EDA72CE-A749-5A44-A0D6-93C76E905C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76" name="Object 41" hidden="1">
          <a:extLst>
            <a:ext uri="{FF2B5EF4-FFF2-40B4-BE49-F238E27FC236}">
              <a16:creationId xmlns:a16="http://schemas.microsoft.com/office/drawing/2014/main" id="{AB8EFD5F-5E84-9D48-B7E2-9E4DC7D0CC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77" name="Object 42" hidden="1">
          <a:extLst>
            <a:ext uri="{FF2B5EF4-FFF2-40B4-BE49-F238E27FC236}">
              <a16:creationId xmlns:a16="http://schemas.microsoft.com/office/drawing/2014/main" id="{6FC0B3E7-7E56-A54A-AB6A-6B0410077A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78" name="Object 29" hidden="1">
          <a:extLst>
            <a:ext uri="{FF2B5EF4-FFF2-40B4-BE49-F238E27FC236}">
              <a16:creationId xmlns:a16="http://schemas.microsoft.com/office/drawing/2014/main" id="{57FE324B-908E-FD4E-990C-CABAFDA172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79" name="Object 30" hidden="1">
          <a:extLst>
            <a:ext uri="{FF2B5EF4-FFF2-40B4-BE49-F238E27FC236}">
              <a16:creationId xmlns:a16="http://schemas.microsoft.com/office/drawing/2014/main" id="{9071E576-0EEB-374B-A949-E2B54BD56F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80" name="Object 31" hidden="1">
          <a:extLst>
            <a:ext uri="{FF2B5EF4-FFF2-40B4-BE49-F238E27FC236}">
              <a16:creationId xmlns:a16="http://schemas.microsoft.com/office/drawing/2014/main" id="{B22EE424-8766-9F42-89C1-9AA76D0DD6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81" name="Object 32" hidden="1">
          <a:extLst>
            <a:ext uri="{FF2B5EF4-FFF2-40B4-BE49-F238E27FC236}">
              <a16:creationId xmlns:a16="http://schemas.microsoft.com/office/drawing/2014/main" id="{E09ED1C7-9EDE-F342-A453-ECD2BC0155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82" name="Object 33" hidden="1">
          <a:extLst>
            <a:ext uri="{FF2B5EF4-FFF2-40B4-BE49-F238E27FC236}">
              <a16:creationId xmlns:a16="http://schemas.microsoft.com/office/drawing/2014/main" id="{21A7C179-A527-A24C-9047-3F920AD928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83" name="Object 34" hidden="1">
          <a:extLst>
            <a:ext uri="{FF2B5EF4-FFF2-40B4-BE49-F238E27FC236}">
              <a16:creationId xmlns:a16="http://schemas.microsoft.com/office/drawing/2014/main" id="{AC1FA4AC-7E66-0F4E-B872-C21808149A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84" name="Object 35" hidden="1">
          <a:extLst>
            <a:ext uri="{FF2B5EF4-FFF2-40B4-BE49-F238E27FC236}">
              <a16:creationId xmlns:a16="http://schemas.microsoft.com/office/drawing/2014/main" id="{D2CB0E34-C3A5-584F-9EE3-D256B6F12A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85" name="Object 36" hidden="1">
          <a:extLst>
            <a:ext uri="{FF2B5EF4-FFF2-40B4-BE49-F238E27FC236}">
              <a16:creationId xmlns:a16="http://schemas.microsoft.com/office/drawing/2014/main" id="{1EEFCEF2-E023-4842-B042-575CC38806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86" name="Object 37" hidden="1">
          <a:extLst>
            <a:ext uri="{FF2B5EF4-FFF2-40B4-BE49-F238E27FC236}">
              <a16:creationId xmlns:a16="http://schemas.microsoft.com/office/drawing/2014/main" id="{738FDE3C-CDA7-694E-ABF2-5607D2E28F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87" name="Object 38" hidden="1">
          <a:extLst>
            <a:ext uri="{FF2B5EF4-FFF2-40B4-BE49-F238E27FC236}">
              <a16:creationId xmlns:a16="http://schemas.microsoft.com/office/drawing/2014/main" id="{B00E5AEB-93E9-8846-BAAC-A5236832EC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88" name="Object 39" hidden="1">
          <a:extLst>
            <a:ext uri="{FF2B5EF4-FFF2-40B4-BE49-F238E27FC236}">
              <a16:creationId xmlns:a16="http://schemas.microsoft.com/office/drawing/2014/main" id="{3FC300B4-46C8-374B-8AA5-3EA795A124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89" name="Object 40" hidden="1">
          <a:extLst>
            <a:ext uri="{FF2B5EF4-FFF2-40B4-BE49-F238E27FC236}">
              <a16:creationId xmlns:a16="http://schemas.microsoft.com/office/drawing/2014/main" id="{20EF0AA4-4037-4C4E-BC10-50F34E9083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90" name="Object 41" hidden="1">
          <a:extLst>
            <a:ext uri="{FF2B5EF4-FFF2-40B4-BE49-F238E27FC236}">
              <a16:creationId xmlns:a16="http://schemas.microsoft.com/office/drawing/2014/main" id="{B88A7A16-42DD-0749-ADAA-B4B3902A69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740104" cy="180975"/>
    <xdr:pic>
      <xdr:nvPicPr>
        <xdr:cNvPr id="91" name="Object 42" hidden="1">
          <a:extLst>
            <a:ext uri="{FF2B5EF4-FFF2-40B4-BE49-F238E27FC236}">
              <a16:creationId xmlns:a16="http://schemas.microsoft.com/office/drawing/2014/main" id="{1A811ABD-169E-2B40-9890-A4B0EF3154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9714" y="9906000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92" name="Object 29" hidden="1">
          <a:extLst>
            <a:ext uri="{FF2B5EF4-FFF2-40B4-BE49-F238E27FC236}">
              <a16:creationId xmlns:a16="http://schemas.microsoft.com/office/drawing/2014/main" id="{C672206F-F8DD-F140-BAC2-D170F55DEE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93" name="Object 30" hidden="1">
          <a:extLst>
            <a:ext uri="{FF2B5EF4-FFF2-40B4-BE49-F238E27FC236}">
              <a16:creationId xmlns:a16="http://schemas.microsoft.com/office/drawing/2014/main" id="{C5E23102-23D6-AA44-AA54-1AEFAAF5E2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94" name="Object 31" hidden="1">
          <a:extLst>
            <a:ext uri="{FF2B5EF4-FFF2-40B4-BE49-F238E27FC236}">
              <a16:creationId xmlns:a16="http://schemas.microsoft.com/office/drawing/2014/main" id="{6A742C72-AAE2-6A41-92BC-73A3B518C4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95" name="Object 32" hidden="1">
          <a:extLst>
            <a:ext uri="{FF2B5EF4-FFF2-40B4-BE49-F238E27FC236}">
              <a16:creationId xmlns:a16="http://schemas.microsoft.com/office/drawing/2014/main" id="{652D448D-26E8-EA44-AC70-937A54240E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96" name="Object 33" hidden="1">
          <a:extLst>
            <a:ext uri="{FF2B5EF4-FFF2-40B4-BE49-F238E27FC236}">
              <a16:creationId xmlns:a16="http://schemas.microsoft.com/office/drawing/2014/main" id="{634C0174-83BF-6344-A306-6A4B99553F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97" name="Object 34" hidden="1">
          <a:extLst>
            <a:ext uri="{FF2B5EF4-FFF2-40B4-BE49-F238E27FC236}">
              <a16:creationId xmlns:a16="http://schemas.microsoft.com/office/drawing/2014/main" id="{BC0847AE-A37F-F047-817F-4F76BE00F6B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98" name="Object 35" hidden="1">
          <a:extLst>
            <a:ext uri="{FF2B5EF4-FFF2-40B4-BE49-F238E27FC236}">
              <a16:creationId xmlns:a16="http://schemas.microsoft.com/office/drawing/2014/main" id="{91CD1126-0D55-2640-AC9A-0BF0394230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99" name="Object 36" hidden="1">
          <a:extLst>
            <a:ext uri="{FF2B5EF4-FFF2-40B4-BE49-F238E27FC236}">
              <a16:creationId xmlns:a16="http://schemas.microsoft.com/office/drawing/2014/main" id="{CF4EA784-EA54-4B4B-AC02-44C7C50A41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00" name="Object 37" hidden="1">
          <a:extLst>
            <a:ext uri="{FF2B5EF4-FFF2-40B4-BE49-F238E27FC236}">
              <a16:creationId xmlns:a16="http://schemas.microsoft.com/office/drawing/2014/main" id="{29903E42-FF0F-914C-A536-D0BEFA1521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01" name="Object 38" hidden="1">
          <a:extLst>
            <a:ext uri="{FF2B5EF4-FFF2-40B4-BE49-F238E27FC236}">
              <a16:creationId xmlns:a16="http://schemas.microsoft.com/office/drawing/2014/main" id="{11108699-8B00-1241-B0BD-7A5A50BE95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02" name="Object 39" hidden="1">
          <a:extLst>
            <a:ext uri="{FF2B5EF4-FFF2-40B4-BE49-F238E27FC236}">
              <a16:creationId xmlns:a16="http://schemas.microsoft.com/office/drawing/2014/main" id="{21891E54-2F97-2140-8B40-FF004174AD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03" name="Object 40" hidden="1">
          <a:extLst>
            <a:ext uri="{FF2B5EF4-FFF2-40B4-BE49-F238E27FC236}">
              <a16:creationId xmlns:a16="http://schemas.microsoft.com/office/drawing/2014/main" id="{9EDA72CE-A749-5A44-A0D6-93C76E905C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04" name="Object 41" hidden="1">
          <a:extLst>
            <a:ext uri="{FF2B5EF4-FFF2-40B4-BE49-F238E27FC236}">
              <a16:creationId xmlns:a16="http://schemas.microsoft.com/office/drawing/2014/main" id="{AB8EFD5F-5E84-9D48-B7E2-9E4DC7D0CC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05" name="Object 42" hidden="1">
          <a:extLst>
            <a:ext uri="{FF2B5EF4-FFF2-40B4-BE49-F238E27FC236}">
              <a16:creationId xmlns:a16="http://schemas.microsoft.com/office/drawing/2014/main" id="{6FC0B3E7-7E56-A54A-AB6A-6B0410077A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06" name="Object 29" hidden="1">
          <a:extLst>
            <a:ext uri="{FF2B5EF4-FFF2-40B4-BE49-F238E27FC236}">
              <a16:creationId xmlns:a16="http://schemas.microsoft.com/office/drawing/2014/main" id="{57FE324B-908E-FD4E-990C-CABAFDA172F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07" name="Object 30" hidden="1">
          <a:extLst>
            <a:ext uri="{FF2B5EF4-FFF2-40B4-BE49-F238E27FC236}">
              <a16:creationId xmlns:a16="http://schemas.microsoft.com/office/drawing/2014/main" id="{9071E576-0EEB-374B-A949-E2B54BD56F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08" name="Object 31" hidden="1">
          <a:extLst>
            <a:ext uri="{FF2B5EF4-FFF2-40B4-BE49-F238E27FC236}">
              <a16:creationId xmlns:a16="http://schemas.microsoft.com/office/drawing/2014/main" id="{B22EE424-8766-9F42-89C1-9AA76D0DD6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09" name="Object 32" hidden="1">
          <a:extLst>
            <a:ext uri="{FF2B5EF4-FFF2-40B4-BE49-F238E27FC236}">
              <a16:creationId xmlns:a16="http://schemas.microsoft.com/office/drawing/2014/main" id="{E09ED1C7-9EDE-F342-A453-ECD2BC0155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10" name="Object 33" hidden="1">
          <a:extLst>
            <a:ext uri="{FF2B5EF4-FFF2-40B4-BE49-F238E27FC236}">
              <a16:creationId xmlns:a16="http://schemas.microsoft.com/office/drawing/2014/main" id="{21A7C179-A527-A24C-9047-3F920AD928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11" name="Object 34" hidden="1">
          <a:extLst>
            <a:ext uri="{FF2B5EF4-FFF2-40B4-BE49-F238E27FC236}">
              <a16:creationId xmlns:a16="http://schemas.microsoft.com/office/drawing/2014/main" id="{AC1FA4AC-7E66-0F4E-B872-C21808149A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12" name="Object 35" hidden="1">
          <a:extLst>
            <a:ext uri="{FF2B5EF4-FFF2-40B4-BE49-F238E27FC236}">
              <a16:creationId xmlns:a16="http://schemas.microsoft.com/office/drawing/2014/main" id="{D2CB0E34-C3A5-584F-9EE3-D256B6F12A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13" name="Object 36" hidden="1">
          <a:extLst>
            <a:ext uri="{FF2B5EF4-FFF2-40B4-BE49-F238E27FC236}">
              <a16:creationId xmlns:a16="http://schemas.microsoft.com/office/drawing/2014/main" id="{1EEFCEF2-E023-4842-B042-575CC38806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14" name="Object 37" hidden="1">
          <a:extLst>
            <a:ext uri="{FF2B5EF4-FFF2-40B4-BE49-F238E27FC236}">
              <a16:creationId xmlns:a16="http://schemas.microsoft.com/office/drawing/2014/main" id="{738FDE3C-CDA7-694E-ABF2-5607D2E28F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15" name="Object 38" hidden="1">
          <a:extLst>
            <a:ext uri="{FF2B5EF4-FFF2-40B4-BE49-F238E27FC236}">
              <a16:creationId xmlns:a16="http://schemas.microsoft.com/office/drawing/2014/main" id="{B00E5AEB-93E9-8846-BAAC-A5236832EC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16" name="Object 39" hidden="1">
          <a:extLst>
            <a:ext uri="{FF2B5EF4-FFF2-40B4-BE49-F238E27FC236}">
              <a16:creationId xmlns:a16="http://schemas.microsoft.com/office/drawing/2014/main" id="{3FC300B4-46C8-374B-8AA5-3EA795A124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17" name="Object 40" hidden="1">
          <a:extLst>
            <a:ext uri="{FF2B5EF4-FFF2-40B4-BE49-F238E27FC236}">
              <a16:creationId xmlns:a16="http://schemas.microsoft.com/office/drawing/2014/main" id="{20EF0AA4-4037-4C4E-BC10-50F34E9083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18" name="Object 41" hidden="1">
          <a:extLst>
            <a:ext uri="{FF2B5EF4-FFF2-40B4-BE49-F238E27FC236}">
              <a16:creationId xmlns:a16="http://schemas.microsoft.com/office/drawing/2014/main" id="{B88A7A16-42DD-0749-ADAA-B4B3902A69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0</xdr:colOff>
      <xdr:row>111</xdr:row>
      <xdr:rowOff>0</xdr:rowOff>
    </xdr:from>
    <xdr:ext cx="740104" cy="180975"/>
    <xdr:pic>
      <xdr:nvPicPr>
        <xdr:cNvPr id="119" name="Object 42" hidden="1">
          <a:extLst>
            <a:ext uri="{FF2B5EF4-FFF2-40B4-BE49-F238E27FC236}">
              <a16:creationId xmlns:a16="http://schemas.microsoft.com/office/drawing/2014/main" id="{1A811ABD-169E-2B40-9890-A4B0EF3154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393" y="17076964"/>
          <a:ext cx="74010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640772</xdr:colOff>
      <xdr:row>2</xdr:row>
      <xdr:rowOff>1333499</xdr:rowOff>
    </xdr:from>
    <xdr:to>
      <xdr:col>20</xdr:col>
      <xdr:colOff>1943347</xdr:colOff>
      <xdr:row>14</xdr:row>
      <xdr:rowOff>831273</xdr:rowOff>
    </xdr:to>
    <xdr:sp macro="" textlink="">
      <xdr:nvSpPr>
        <xdr:cNvPr id="121" name="직사각형 120"/>
        <xdr:cNvSpPr/>
      </xdr:nvSpPr>
      <xdr:spPr>
        <a:xfrm>
          <a:off x="19708090" y="1887681"/>
          <a:ext cx="11295166" cy="7273637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320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※ </a:t>
          </a:r>
          <a:r>
            <a:rPr lang="ko-KR" altLang="en-US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할인</a:t>
          </a:r>
          <a:r>
            <a:rPr lang="en-US" altLang="ko-KR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항목</a:t>
          </a:r>
          <a:r>
            <a:rPr lang="en-US" altLang="ko-KR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숨김</a:t>
          </a:r>
          <a:r>
            <a:rPr lang="en-US" altLang="ko-KR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처리</a:t>
          </a:r>
          <a:r>
            <a:rPr lang="en-US" altLang="ko-KR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사유</a:t>
          </a:r>
          <a:r>
            <a:rPr lang="en-US" altLang="ko-KR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및</a:t>
          </a:r>
          <a:r>
            <a:rPr lang="en-US" altLang="ko-KR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활용</a:t>
          </a:r>
          <a:r>
            <a:rPr lang="en-US" altLang="ko-KR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방법</a:t>
          </a:r>
          <a:r>
            <a:rPr lang="en-US" altLang="ko-KR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32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안내</a:t>
          </a:r>
          <a:endParaRPr lang="en-US" altLang="ko-KR" sz="3200" b="0" i="0" u="none" strike="noStrike" baseline="0" smtClean="0">
            <a:solidFill>
              <a:schemeClr val="bg1"/>
            </a:solidFill>
            <a:latin typeface="[더존] 본문체 30" panose="020B0603000000000000" pitchFamily="50" charset="-127"/>
            <a:ea typeface="[더존] 본문체 30" panose="020B0603000000000000" pitchFamily="50" charset="-127"/>
          </a:endParaRPr>
        </a:p>
        <a:p>
          <a:pPr algn="l"/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1.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숨김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사유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    </a:t>
          </a:r>
        </a:p>
        <a:p>
          <a:pPr algn="l"/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초도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미팅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후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고객사에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표준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가격으로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안내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시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,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할인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항목이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표기되어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있어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고객사에서는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기본적으로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할인이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부여된다고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오인하고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있습니다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.       </a:t>
          </a:r>
        </a:p>
        <a:p>
          <a:pPr algn="l"/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이와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같은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불필요한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할인을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막기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위해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할인과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관련된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행을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숨김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처리하였으니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,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할인이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필요한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상황에는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숨기기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처리를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해제하여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사용하시기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바랍니다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. </a:t>
          </a:r>
        </a:p>
        <a:p>
          <a:pPr algn="l"/>
          <a:endParaRPr lang="en-US" altLang="ko-KR" sz="2800" b="0" i="0" u="none" strike="noStrike" baseline="0" smtClean="0">
            <a:solidFill>
              <a:schemeClr val="bg1"/>
            </a:solidFill>
            <a:latin typeface="[더존] 본문체 30" panose="020B0603000000000000" pitchFamily="50" charset="-127"/>
            <a:ea typeface="[더존] 본문체 30" panose="020B0603000000000000" pitchFamily="50" charset="-127"/>
          </a:endParaRPr>
        </a:p>
        <a:p>
          <a:pPr algn="l"/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2.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숨김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구역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(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할인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필요시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숨김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해제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후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활용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)    </a:t>
          </a:r>
        </a:p>
        <a:p>
          <a:pPr algn="l"/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1) L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열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~O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열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(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할인율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및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할인가격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 </a:t>
          </a:r>
          <a:r>
            <a:rPr lang="ko-KR" altLang="en-US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표기분</a:t>
          </a:r>
          <a:r>
            <a:rPr lang="en-US" altLang="ko-KR" sz="2800" b="0" i="0" u="none" strike="noStrike" baseline="0" smtClean="0">
              <a:solidFill>
                <a:schemeClr val="bg1"/>
              </a:solidFill>
              <a:latin typeface="[더존] 본문체 30" panose="020B0603000000000000" pitchFamily="50" charset="-127"/>
              <a:ea typeface="[더존] 본문체 30" panose="020B0603000000000000" pitchFamily="50" charset="-127"/>
            </a:rPr>
            <a:t>)    </a:t>
          </a:r>
        </a:p>
        <a:p>
          <a:pPr algn="l"/>
          <a:endParaRPr lang="en-US" altLang="ko-KR" sz="2800">
            <a:latin typeface="[더존] 본문체 30" panose="020B0603000000000000" pitchFamily="50" charset="-127"/>
            <a:ea typeface="[더존] 본문체 30" panose="020B0603000000000000" pitchFamily="50" charset="-127"/>
          </a:endParaRPr>
        </a:p>
        <a:p>
          <a:pPr algn="l"/>
          <a:r>
            <a:rPr lang="en-US" altLang="ko-KR" sz="2800">
              <a:latin typeface="[더존] 본문체 30" panose="020B0603000000000000" pitchFamily="50" charset="-127"/>
              <a:ea typeface="[더존] 본문체 30" panose="020B0603000000000000" pitchFamily="50" charset="-127"/>
            </a:rPr>
            <a:t>※ </a:t>
          </a:r>
          <a:r>
            <a:rPr kumimoji="0" lang="en-US" altLang="ko-KR" sz="3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[더존] 본문체 30" panose="020B0603000000000000" pitchFamily="50" charset="-127"/>
              <a:ea typeface="[더존] 본문체 30" panose="020B0603000000000000" pitchFamily="50" charset="-127"/>
              <a:cs typeface="+mn-cs"/>
            </a:rPr>
            <a:t>'Amaranth 10 </a:t>
          </a:r>
          <a:r>
            <a:rPr kumimoji="0" lang="ko-KR" altLang="en-US" sz="3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[더존] 본문체 30" panose="020B0603000000000000" pitchFamily="50" charset="-127"/>
              <a:ea typeface="[더존] 본문체 30" panose="020B0603000000000000" pitchFamily="50" charset="-127"/>
              <a:cs typeface="+mn-cs"/>
            </a:rPr>
            <a:t>가격제안서 </a:t>
          </a:r>
          <a:r>
            <a:rPr lang="ko-KR" altLang="en-US" sz="3200">
              <a:latin typeface="[더존] 본문체 30" panose="020B0603000000000000" pitchFamily="50" charset="-127"/>
              <a:ea typeface="[더존] 본문체 30" panose="020B0603000000000000" pitchFamily="50" charset="-127"/>
            </a:rPr>
            <a:t>제목 부분 파란색 도형의</a:t>
          </a:r>
          <a:r>
            <a:rPr lang="ko-KR" altLang="en-US" sz="3200" baseline="0">
              <a:latin typeface="[더존] 본문체 30" panose="020B0603000000000000" pitchFamily="50" charset="-127"/>
              <a:ea typeface="[더존] 본문체 30" panose="020B0603000000000000" pitchFamily="50" charset="-127"/>
            </a:rPr>
            <a:t> 크기 문제는 프린트 또는 </a:t>
          </a:r>
          <a:r>
            <a:rPr lang="en-US" altLang="ko-KR" sz="3200" baseline="0">
              <a:latin typeface="[더존] 본문체 30" panose="020B0603000000000000" pitchFamily="50" charset="-127"/>
              <a:ea typeface="[더존] 본문체 30" panose="020B0603000000000000" pitchFamily="50" charset="-127"/>
            </a:rPr>
            <a:t>PDF </a:t>
          </a:r>
          <a:r>
            <a:rPr lang="ko-KR" altLang="en-US" sz="3200" baseline="0">
              <a:latin typeface="[더존] 본문체 30" panose="020B0603000000000000" pitchFamily="50" charset="-127"/>
              <a:ea typeface="[더존] 본문체 30" panose="020B0603000000000000" pitchFamily="50" charset="-127"/>
            </a:rPr>
            <a:t>시 문제없이 출력됨을 확인하였습니다</a:t>
          </a:r>
          <a:r>
            <a:rPr lang="en-US" altLang="ko-KR" sz="3200" baseline="0">
              <a:latin typeface="[더존] 본문체 30" panose="020B0603000000000000" pitchFamily="50" charset="-127"/>
              <a:ea typeface="[더존] 본문체 30" panose="020B0603000000000000" pitchFamily="50" charset="-127"/>
            </a:rPr>
            <a:t>.</a:t>
          </a:r>
          <a:endParaRPr lang="ko-KR" altLang="en-US" sz="3200">
            <a:latin typeface="[더존] 본문체 30" panose="020B0603000000000000" pitchFamily="50" charset="-127"/>
            <a:ea typeface="[더존] 본문체 30" panose="020B0603000000000000" pitchFamily="50" charset="-127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c\8976209\c\&#47588;&#53356;&#47196;&#50672;&#44208;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c\BODY4TEAM7\&#44053;&#44552;&#44396;\!&#44049;&#47928;-~1\&#44277;&#48277;&#49436;\&#44277;&#51221;&#44277;&#4827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ac/HSKIM/Q2%20&#44032;&#44201;&#54364;/JESS/95CO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_JAPAN\96MEET\JAPAN\&#54952;&#50984;&#48516;&#4943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c\psf\Home\&#47932;&#46041;\WBR\Check%20Point%20All%20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50900;&#48324;&#51089;&#50629;/21&#45380;%2002&#50900;/&#52852;&#48652;&#47336;%20&#50668;&#50864;&#47589;&#51452;/&#52572;&#51333;%20&#44204;&#51201;&#49436;/Hybrid_210219_TS&#50689;&#50629;4&#49468;&#53552;_&#51060;&#44536;&#47548;&#44284;&#51109;_ERP10%20&#44204;&#51201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ac/8976209/c/&#47588;&#53356;&#47196;&#50672;&#44208;/Book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c\psf\Home\Documents%20and%20Settings\user\My%20Documents\NEOBIZBOX%20&#48155;&#51008;%20&#54028;&#51068;\&#51064;&#52285;&#51204;&#51088;20090310_&#47560;&#49828;&#5355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c\Backup\ERP_TFT\&#50629;&#47924;\1&#48264;.&#44396;&#47588;\3.%20&#44396;&#47588;&#44508;&#51221;&amp;&#49436;&#49885;&amp;&#52280;&#44256;\B.%20&#44396;&#47588;&#49436;&#49885;\&#50629;&#47924;\1&#48264;.&#44396;&#47588;\1.%20PROJECT\03&#45380;\C.%20C%206LINE(6L)\&#48156;&#51452;&#44288;&#47144;\&#26412;&#48156;&#51452;\2.%20%20AL&#50517;&#52636;&#51116;\&#50980;&#48337;&#54984;\MY%20JOB%20III(&#44396;&#47588;)\1.%20PROJECT\C.%20C%206LINE\DFK%20&#50672;&#44208;\&#12593;.%20&#51109;&#48148;&#48156;&#51452;(TANIGUCHI&#49345;%20&#50836;&#52397;)\(92~100)_&#51109;&#48148;_&#54200;&#51665;&#23436;_0306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4-F7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월대비"/>
      <sheetName val="전체실적"/>
      <sheetName val="목표대비"/>
      <sheetName val="당월.누계"/>
      <sheetName val="사업소별"/>
      <sheetName val="효율계획(당월)"/>
      <sheetName val="업체입고현황"/>
      <sheetName val="공장불출현황"/>
      <sheetName val="효율계획_당월_"/>
      <sheetName val="Sheet1"/>
      <sheetName val="Sheet2"/>
      <sheetName val="Sheet3"/>
      <sheetName val="도시가스"/>
      <sheetName val="수선유지비내역"/>
      <sheetName val="투자내역"/>
      <sheetName val="효율분석"/>
      <sheetName val="(BS,CF)-BACK"/>
      <sheetName val="전산품의"/>
      <sheetName val="#REF"/>
      <sheetName val="신규DEP"/>
      <sheetName val="7.5 재질별 수율"/>
      <sheetName val="Option"/>
      <sheetName val="Upgrades pricing"/>
      <sheetName val="당월_누계"/>
      <sheetName val="기안"/>
      <sheetName val="7.3 DY팀"/>
      <sheetName val="Balance Sheet(AR)"/>
      <sheetName val="Income Statement(AR)"/>
      <sheetName val="TaxCalc"/>
      <sheetName val="장기차입금"/>
      <sheetName val="CAUDIT"/>
      <sheetName val="담당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서버가상화 서비스"/>
      <sheetName val="D-Cloud 서비스 월납 신청서"/>
      <sheetName val="D-Cloud 서비스 연납 신청서"/>
      <sheetName val="CMS신청서"/>
      <sheetName val="오퍼링셋"/>
      <sheetName val="담당자"/>
      <sheetName val="개인정보 수집이용 동의서"/>
      <sheetName val="spam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제품</v>
          </cell>
        </row>
      </sheetData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O35"/>
  <sheetViews>
    <sheetView showGridLines="0" view="pageBreakPreview" topLeftCell="A16" zoomScaleNormal="100" zoomScaleSheetLayoutView="100" workbookViewId="0">
      <selection activeCell="B25" sqref="B25:I25"/>
    </sheetView>
  </sheetViews>
  <sheetFormatPr defaultColWidth="8.875" defaultRowHeight="16.5" x14ac:dyDescent="0.3"/>
  <cols>
    <col min="1" max="2" width="3.625" style="24" customWidth="1"/>
    <col min="3" max="3" width="8.125" style="24" customWidth="1"/>
    <col min="4" max="13" width="6.5" style="24" customWidth="1"/>
    <col min="14" max="14" width="8.875" style="24" customWidth="1"/>
    <col min="15" max="15" width="4.5" style="24" customWidth="1"/>
    <col min="16" max="16" width="4.5" customWidth="1"/>
    <col min="17" max="17" width="0.125" customWidth="1"/>
  </cols>
  <sheetData>
    <row r="1" s="24" customFormat="1" ht="20.25" customHeight="1" x14ac:dyDescent="0.3"/>
    <row r="2" s="24" customFormat="1" ht="20.25" customHeight="1" x14ac:dyDescent="0.3"/>
    <row r="3" s="24" customFormat="1" ht="20.25" customHeight="1" x14ac:dyDescent="0.3"/>
    <row r="4" s="24" customFormat="1" ht="20.25" customHeight="1" x14ac:dyDescent="0.3"/>
    <row r="5" s="24" customFormat="1" ht="20.25" customHeight="1" x14ac:dyDescent="0.3"/>
    <row r="6" s="24" customFormat="1" ht="20.25" customHeight="1" x14ac:dyDescent="0.3"/>
    <row r="7" s="24" customFormat="1" ht="20.25" customHeight="1" x14ac:dyDescent="0.3"/>
    <row r="8" s="24" customFormat="1" ht="20.25" customHeight="1" x14ac:dyDescent="0.3"/>
    <row r="9" s="24" customFormat="1" ht="20.25" customHeight="1" x14ac:dyDescent="0.3"/>
    <row r="10" s="24" customFormat="1" ht="20.25" customHeight="1" x14ac:dyDescent="0.3"/>
    <row r="11" s="24" customFormat="1" ht="20.25" customHeight="1" x14ac:dyDescent="0.3"/>
    <row r="12" s="24" customFormat="1" ht="20.25" customHeight="1" x14ac:dyDescent="0.3"/>
    <row r="13" s="24" customFormat="1" ht="20.25" customHeight="1" x14ac:dyDescent="0.3"/>
    <row r="14" s="24" customFormat="1" ht="20.25" customHeight="1" x14ac:dyDescent="0.3"/>
    <row r="15" s="24" customFormat="1" ht="20.25" customHeight="1" x14ac:dyDescent="0.3"/>
    <row r="16" s="24" customFormat="1" ht="20.25" customHeight="1" x14ac:dyDescent="0.3"/>
    <row r="17" spans="1:9" s="24" customFormat="1" ht="20.25" customHeight="1" x14ac:dyDescent="0.3"/>
    <row r="18" spans="1:9" s="24" customFormat="1" ht="20.25" customHeight="1" x14ac:dyDescent="0.3"/>
    <row r="19" spans="1:9" s="24" customFormat="1" ht="20.25" customHeight="1" x14ac:dyDescent="0.3"/>
    <row r="20" spans="1:9" s="24" customFormat="1" ht="20.25" customHeight="1" x14ac:dyDescent="0.3"/>
    <row r="21" spans="1:9" s="24" customFormat="1" ht="20.25" customHeight="1" x14ac:dyDescent="0.3"/>
    <row r="22" spans="1:9" s="24" customFormat="1" ht="20.25" customHeight="1" x14ac:dyDescent="0.3"/>
    <row r="23" spans="1:9" s="24" customFormat="1" ht="20.25" customHeight="1" x14ac:dyDescent="0.3"/>
    <row r="24" spans="1:9" s="24" customFormat="1" ht="20.25" customHeight="1" x14ac:dyDescent="0.3"/>
    <row r="25" spans="1:9" s="24" customFormat="1" ht="20.25" customHeight="1" x14ac:dyDescent="0.3">
      <c r="B25" s="234">
        <f ca="1">TODAY()</f>
        <v>46097</v>
      </c>
      <c r="C25" s="234"/>
      <c r="D25" s="234"/>
      <c r="E25" s="234"/>
      <c r="F25" s="234"/>
      <c r="G25" s="234"/>
      <c r="H25" s="234"/>
      <c r="I25" s="234"/>
    </row>
    <row r="26" spans="1:9" s="24" customFormat="1" ht="20.25" customHeight="1" x14ac:dyDescent="0.3">
      <c r="A26" s="26"/>
      <c r="B26" s="26"/>
    </row>
    <row r="27" spans="1:9" s="24" customFormat="1" ht="20.25" customHeight="1" x14ac:dyDescent="0.3"/>
    <row r="28" spans="1:9" s="24" customFormat="1" ht="20.25" customHeight="1" x14ac:dyDescent="0.3"/>
    <row r="29" spans="1:9" s="24" customFormat="1" ht="20.25" customHeight="1" x14ac:dyDescent="0.3"/>
    <row r="30" spans="1:9" s="24" customFormat="1" ht="20.25" customHeight="1" x14ac:dyDescent="0.3"/>
    <row r="31" spans="1:9" s="24" customFormat="1" ht="20.25" customHeight="1" x14ac:dyDescent="0.3"/>
    <row r="32" spans="1:9" s="24" customFormat="1" ht="20.25" customHeight="1" x14ac:dyDescent="0.3"/>
    <row r="33" spans="3:14" s="24" customFormat="1" ht="20.25" customHeight="1" x14ac:dyDescent="0.3"/>
    <row r="34" spans="3:14" s="24" customFormat="1" ht="20.25" customHeight="1" x14ac:dyDescent="0.3">
      <c r="K34" s="25"/>
      <c r="L34" s="25"/>
      <c r="M34" s="25"/>
      <c r="N34" s="25"/>
    </row>
    <row r="35" spans="3:14" s="24" customFormat="1" ht="20.25" customHeight="1" x14ac:dyDescent="0.3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</sheetData>
  <mergeCells count="1">
    <mergeCell ref="B25:I25"/>
  </mergeCells>
  <phoneticPr fontId="1" type="noConversion"/>
  <printOptions horizontalCentered="1"/>
  <pageMargins left="0.31496062992125984" right="0.31496062992125984" top="0.35433070866141736" bottom="0.15748031496062992" header="0.31496062992125984" footer="0.31496062992125984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198"/>
  <sheetViews>
    <sheetView showGridLines="0" tabSelected="1" view="pageBreakPreview" zoomScale="55" zoomScaleNormal="70" zoomScaleSheetLayoutView="55" workbookViewId="0">
      <selection activeCell="D9" sqref="D9:G9"/>
    </sheetView>
  </sheetViews>
  <sheetFormatPr defaultColWidth="8.875" defaultRowHeight="15.75" x14ac:dyDescent="0.3"/>
  <cols>
    <col min="1" max="1" width="1.375" style="2" customWidth="1"/>
    <col min="2" max="2" width="12.875" style="2" customWidth="1"/>
    <col min="3" max="3" width="13.625" style="2" customWidth="1"/>
    <col min="4" max="4" width="7.125" style="2" customWidth="1"/>
    <col min="5" max="5" width="36.75" style="2" customWidth="1"/>
    <col min="6" max="6" width="25.875" style="2" customWidth="1"/>
    <col min="7" max="7" width="38.125" style="2" customWidth="1"/>
    <col min="8" max="8" width="11.375" style="2" customWidth="1"/>
    <col min="9" max="9" width="21.375" style="2" customWidth="1"/>
    <col min="10" max="10" width="10.75" style="3" customWidth="1"/>
    <col min="11" max="11" width="8.875" style="3" customWidth="1"/>
    <col min="12" max="12" width="22.875" style="2" customWidth="1"/>
    <col min="13" max="13" width="13.125" style="3" hidden="1" customWidth="1"/>
    <col min="14" max="14" width="22.5" style="2" hidden="1" customWidth="1"/>
    <col min="15" max="15" width="36.25" style="2" customWidth="1"/>
    <col min="16" max="17" width="1.375" style="1" customWidth="1"/>
    <col min="18" max="18" width="9" style="1" customWidth="1"/>
    <col min="19" max="19" width="54.125" style="28" customWidth="1"/>
    <col min="20" max="20" width="67.875" style="28" customWidth="1"/>
    <col min="21" max="21" width="30.875" style="28" customWidth="1"/>
    <col min="22" max="22" width="9.625" style="1" bestFit="1" customWidth="1"/>
    <col min="23" max="16384" width="8.875" style="1"/>
  </cols>
  <sheetData>
    <row r="1" spans="1:22" ht="27" customHeight="1" x14ac:dyDescent="0.3">
      <c r="B1" s="8"/>
      <c r="C1" s="8"/>
      <c r="D1" s="8"/>
      <c r="E1" s="8"/>
      <c r="F1" s="8"/>
      <c r="G1" s="8"/>
    </row>
    <row r="3" spans="1:22" ht="117" customHeight="1" x14ac:dyDescent="0.3">
      <c r="A3" s="9"/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</row>
    <row r="4" spans="1:22" ht="44.25" customHeight="1" x14ac:dyDescent="0.3"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S4" s="2"/>
      <c r="T4" s="2"/>
    </row>
    <row r="5" spans="1:22" s="2" customFormat="1" ht="42" customHeight="1" x14ac:dyDescent="0.3">
      <c r="B5" s="305" t="s">
        <v>11</v>
      </c>
      <c r="C5" s="306"/>
      <c r="D5" s="319"/>
      <c r="E5" s="320"/>
      <c r="F5" s="320"/>
      <c r="G5" s="320"/>
      <c r="I5" s="79" t="s">
        <v>4</v>
      </c>
      <c r="J5" s="311">
        <f ca="1">TODAY()</f>
        <v>46097</v>
      </c>
      <c r="K5" s="312"/>
      <c r="L5" s="312"/>
      <c r="M5" s="312"/>
      <c r="N5" s="312"/>
      <c r="O5" s="312"/>
      <c r="U5" s="3"/>
      <c r="V5" s="3"/>
    </row>
    <row r="6" spans="1:22" s="2" customFormat="1" ht="42" customHeight="1" x14ac:dyDescent="0.3">
      <c r="B6" s="307" t="s">
        <v>5</v>
      </c>
      <c r="C6" s="307"/>
      <c r="D6" s="320"/>
      <c r="E6" s="320"/>
      <c r="F6" s="320"/>
      <c r="G6" s="44" t="s">
        <v>39</v>
      </c>
      <c r="I6" s="315" t="s">
        <v>6</v>
      </c>
      <c r="J6" s="313" t="s">
        <v>40</v>
      </c>
      <c r="K6" s="314"/>
      <c r="L6" s="314"/>
      <c r="M6" s="314"/>
      <c r="N6" s="314"/>
      <c r="O6" s="314"/>
      <c r="U6" s="3"/>
      <c r="V6" s="3"/>
    </row>
    <row r="7" spans="1:22" s="2" customFormat="1" ht="42" customHeight="1" x14ac:dyDescent="0.3">
      <c r="B7" s="307" t="s">
        <v>12</v>
      </c>
      <c r="C7" s="308"/>
      <c r="D7" s="321" t="s">
        <v>41</v>
      </c>
      <c r="E7" s="322"/>
      <c r="F7" s="322"/>
      <c r="G7" s="322"/>
      <c r="I7" s="316"/>
      <c r="J7" s="313"/>
      <c r="K7" s="314"/>
      <c r="L7" s="314"/>
      <c r="M7" s="314"/>
      <c r="N7" s="314"/>
      <c r="O7" s="314"/>
      <c r="U7" s="3"/>
      <c r="V7" s="3"/>
    </row>
    <row r="8" spans="1:22" s="2" customFormat="1" ht="42" customHeight="1" x14ac:dyDescent="0.3">
      <c r="B8" s="307" t="s">
        <v>15</v>
      </c>
      <c r="C8" s="308"/>
      <c r="D8" s="317" t="str">
        <f ca="1">CONCATENATE("Douzone-A10C-Ver1.0-",TEXT(J5,"YYYYMMDD"))</f>
        <v>Douzone-A10C-Ver1.0-20260316</v>
      </c>
      <c r="E8" s="318"/>
      <c r="F8" s="318"/>
      <c r="G8" s="318"/>
      <c r="I8" s="80" t="s">
        <v>13</v>
      </c>
      <c r="J8" s="317" t="s">
        <v>27</v>
      </c>
      <c r="K8" s="318"/>
      <c r="L8" s="318"/>
      <c r="M8" s="318"/>
      <c r="N8" s="318"/>
      <c r="O8" s="318"/>
      <c r="U8" s="3"/>
      <c r="V8" s="3"/>
    </row>
    <row r="9" spans="1:22" s="2" customFormat="1" ht="42" customHeight="1" x14ac:dyDescent="0.3">
      <c r="B9" s="309" t="s">
        <v>7</v>
      </c>
      <c r="C9" s="310"/>
      <c r="D9" s="317" t="s">
        <v>26</v>
      </c>
      <c r="E9" s="318"/>
      <c r="F9" s="318"/>
      <c r="G9" s="318"/>
      <c r="I9" s="81" t="s">
        <v>14</v>
      </c>
      <c r="J9" s="317" t="s">
        <v>26</v>
      </c>
      <c r="K9" s="318"/>
      <c r="L9" s="318"/>
      <c r="M9" s="318"/>
      <c r="N9" s="318"/>
      <c r="O9" s="318"/>
      <c r="U9" s="3"/>
      <c r="V9" s="3"/>
    </row>
    <row r="10" spans="1:22" s="2" customFormat="1" ht="39.75" customHeight="1" x14ac:dyDescent="0.3">
      <c r="B10" s="4"/>
      <c r="C10" s="4"/>
      <c r="D10" s="4"/>
      <c r="E10" s="4"/>
      <c r="F10" s="4"/>
      <c r="J10" s="5"/>
      <c r="K10" s="5"/>
      <c r="L10" s="62"/>
      <c r="M10" s="63"/>
      <c r="N10" s="64"/>
      <c r="O10" s="65"/>
      <c r="U10" s="3"/>
    </row>
    <row r="11" spans="1:22" s="2" customFormat="1" ht="40.5" customHeight="1" x14ac:dyDescent="0.3">
      <c r="B11" s="40" t="s">
        <v>32</v>
      </c>
      <c r="C11" s="41"/>
      <c r="D11" s="41"/>
      <c r="E11" s="41"/>
      <c r="F11" s="41"/>
      <c r="G11" s="42"/>
      <c r="H11" s="6"/>
      <c r="I11" s="6"/>
      <c r="J11" s="7"/>
      <c r="K11" s="42"/>
      <c r="L11" s="41"/>
      <c r="M11" s="41"/>
      <c r="N11" s="41"/>
      <c r="O11" s="43"/>
      <c r="U11" s="3"/>
      <c r="V11" s="3"/>
    </row>
    <row r="12" spans="1:22" s="2" customFormat="1" ht="61.5" customHeight="1" x14ac:dyDescent="0.3">
      <c r="B12" s="303" t="s">
        <v>417</v>
      </c>
      <c r="C12" s="303"/>
      <c r="D12" s="196" t="str">
        <f>"금 "&amp;NUMBERSTRING((N110),1)&amp;TEXT((N110),"원 정 (\ #,###")&amp; "원  : VAT 별도)"</f>
        <v>금 영원 정 (₩ 원  : VAT 별도)</v>
      </c>
      <c r="E12" s="66"/>
      <c r="F12" s="66"/>
      <c r="G12" s="66"/>
      <c r="H12"/>
      <c r="I12" s="82" t="s">
        <v>33</v>
      </c>
      <c r="J12" s="323" t="s">
        <v>34</v>
      </c>
      <c r="K12" s="324"/>
      <c r="L12" s="324"/>
      <c r="M12" s="324"/>
      <c r="N12" s="324"/>
      <c r="O12" s="324"/>
      <c r="U12" s="3"/>
      <c r="V12" s="3"/>
    </row>
    <row r="13" spans="1:22" s="2" customFormat="1" ht="50.1" customHeight="1" x14ac:dyDescent="0.3">
      <c r="B13" s="325" t="s">
        <v>418</v>
      </c>
      <c r="C13" s="325"/>
      <c r="D13" s="196" t="str">
        <f>"금 "&amp;NUMBERSTRING(($N$117),1)&amp;TEXT(($N$117),"원 정 (\ #,###")&amp; "원  : VAT 별도)"</f>
        <v>금 영원 정 (₩ 원  : VAT 별도)</v>
      </c>
      <c r="E13" s="66"/>
      <c r="F13" s="66"/>
      <c r="G13" s="66"/>
      <c r="H13"/>
      <c r="I13" s="83" t="s">
        <v>37</v>
      </c>
      <c r="J13" s="47" t="s">
        <v>38</v>
      </c>
      <c r="K13" s="48"/>
      <c r="L13" s="48"/>
      <c r="M13" s="48"/>
      <c r="N13" s="48"/>
      <c r="O13" s="48"/>
      <c r="T13" s="3"/>
      <c r="U13" s="3"/>
      <c r="V13" s="3"/>
    </row>
    <row r="14" spans="1:22" s="2" customFormat="1" ht="54.75" customHeight="1" x14ac:dyDescent="0.3">
      <c r="B14" s="303" t="s">
        <v>431</v>
      </c>
      <c r="C14" s="303"/>
      <c r="D14" s="196" t="str">
        <f>"금 "&amp;NUMBERSTRING(($N$143),1)&amp;TEXT(($N$143),"원 정 (\ #,###")&amp; "원  : VAT 별도)"</f>
        <v>금 영원 정 (₩ 원  : VAT 별도)</v>
      </c>
      <c r="E14" s="66"/>
      <c r="F14" s="66"/>
      <c r="G14" s="66"/>
      <c r="H14"/>
      <c r="I14" s="84" t="s">
        <v>35</v>
      </c>
      <c r="J14" s="198" t="s">
        <v>428</v>
      </c>
      <c r="K14" s="198"/>
      <c r="L14" s="198"/>
      <c r="M14" s="198"/>
      <c r="N14" s="198"/>
      <c r="O14" s="198"/>
      <c r="T14" s="3"/>
      <c r="U14" s="3"/>
      <c r="V14" s="3"/>
    </row>
    <row r="15" spans="1:22" s="2" customFormat="1" ht="54" customHeight="1" x14ac:dyDescent="0.3">
      <c r="B15" s="303" t="s">
        <v>432</v>
      </c>
      <c r="C15" s="303"/>
      <c r="D15" s="141" t="str">
        <f>"금 "&amp;NUMBERSTRING(($N$140),1)&amp;TEXT(($N$140),"원 정 (\ #,###")&amp; "원  : VAT 별도)"</f>
        <v>금 영원 정 (₩ 원  : VAT 별도)</v>
      </c>
      <c r="E15" s="66"/>
      <c r="F15" s="66"/>
      <c r="G15" s="66"/>
      <c r="H15"/>
      <c r="I15" s="140" t="s">
        <v>36</v>
      </c>
      <c r="J15" s="141" t="s">
        <v>416</v>
      </c>
      <c r="K15" s="141"/>
      <c r="L15" s="141"/>
      <c r="M15" s="141"/>
      <c r="N15" s="141"/>
      <c r="O15" s="141"/>
      <c r="T15" s="3"/>
      <c r="U15" s="3"/>
      <c r="V15" s="3"/>
    </row>
    <row r="16" spans="1:22" s="2" customFormat="1" ht="54.75" customHeight="1" x14ac:dyDescent="0.3">
      <c r="B16" s="303" t="s">
        <v>397</v>
      </c>
      <c r="C16" s="303"/>
      <c r="D16" s="167" t="str">
        <f>"금 "&amp;NUMBERSTRING(($N$147),1)&amp;TEXT(($N$147),"원 정 (\ #,###")&amp; "원  : VAT 별도)"</f>
        <v>금 영원 정 (₩ 원  : VAT 별도)</v>
      </c>
      <c r="E16" s="171"/>
      <c r="F16" s="171"/>
      <c r="G16" s="171"/>
      <c r="H16"/>
      <c r="I16" s="133"/>
      <c r="J16" s="134"/>
      <c r="K16" s="134"/>
      <c r="L16" s="134"/>
      <c r="M16" s="134"/>
      <c r="N16" s="134"/>
      <c r="O16" s="134"/>
      <c r="S16" s="301"/>
      <c r="T16" s="3"/>
      <c r="U16" s="3"/>
      <c r="V16" s="3"/>
    </row>
    <row r="17" spans="1:22" s="2" customFormat="1" ht="54.75" customHeight="1" x14ac:dyDescent="0.3">
      <c r="B17" s="303" t="s">
        <v>413</v>
      </c>
      <c r="C17" s="303"/>
      <c r="D17" s="188" t="str">
        <f>"금 "&amp;NUMBERSTRING(($N$155),1)&amp;TEXT(($N$155),"원 정 (\ #,###")&amp; "원  : VAT 별도)"</f>
        <v>금 영원 정 (₩ 원  : VAT 별도)</v>
      </c>
      <c r="E17" s="171"/>
      <c r="F17" s="171"/>
      <c r="G17" s="171"/>
      <c r="H17"/>
      <c r="I17" s="133"/>
      <c r="J17" s="134"/>
      <c r="K17" s="134"/>
      <c r="L17" s="134"/>
      <c r="M17" s="134"/>
      <c r="N17" s="134"/>
      <c r="O17" s="134"/>
      <c r="S17" s="301"/>
      <c r="T17" s="3"/>
      <c r="U17" s="3"/>
      <c r="V17" s="3"/>
    </row>
    <row r="18" spans="1:22" customFormat="1" ht="20.100000000000001" customHeight="1" thickBot="1" x14ac:dyDescent="0.35">
      <c r="B18" s="132" t="s">
        <v>433</v>
      </c>
      <c r="S18" s="302"/>
    </row>
    <row r="19" spans="1:22" s="32" customFormat="1" ht="41.25" customHeight="1" thickBot="1" x14ac:dyDescent="0.5">
      <c r="B19" s="33" t="s">
        <v>514</v>
      </c>
      <c r="J19" s="34"/>
      <c r="K19" s="34"/>
      <c r="M19" s="34"/>
      <c r="O19" s="35" t="s">
        <v>8</v>
      </c>
      <c r="S19" s="34"/>
      <c r="T19" s="34"/>
      <c r="U19" s="34"/>
    </row>
    <row r="20" spans="1:22" s="2" customFormat="1" ht="46.5" customHeight="1" thickBot="1" x14ac:dyDescent="0.35">
      <c r="B20" s="72" t="s">
        <v>116</v>
      </c>
      <c r="C20" s="329" t="s">
        <v>1</v>
      </c>
      <c r="D20" s="330"/>
      <c r="E20" s="331"/>
      <c r="F20" s="72" t="s">
        <v>16</v>
      </c>
      <c r="G20" s="72"/>
      <c r="H20" s="72"/>
      <c r="I20" s="73" t="s">
        <v>17</v>
      </c>
      <c r="J20" s="73" t="s">
        <v>2</v>
      </c>
      <c r="K20" s="73" t="s">
        <v>18</v>
      </c>
      <c r="L20" s="73" t="s">
        <v>19</v>
      </c>
      <c r="M20" s="73" t="s">
        <v>29</v>
      </c>
      <c r="N20" s="73" t="s">
        <v>28</v>
      </c>
      <c r="O20" s="73" t="s">
        <v>122</v>
      </c>
      <c r="S20" s="93" t="s">
        <v>194</v>
      </c>
      <c r="T20" s="94" t="s">
        <v>195</v>
      </c>
      <c r="U20" s="36"/>
    </row>
    <row r="21" spans="1:22" s="13" customFormat="1" ht="55.5" customHeight="1" x14ac:dyDescent="0.3">
      <c r="A21" s="39"/>
      <c r="B21" s="263" t="s">
        <v>81</v>
      </c>
      <c r="C21" s="246" t="s">
        <v>42</v>
      </c>
      <c r="D21" s="247"/>
      <c r="E21" s="92" t="s">
        <v>98</v>
      </c>
      <c r="F21" s="297" t="s">
        <v>105</v>
      </c>
      <c r="G21" s="297"/>
      <c r="H21" s="297"/>
      <c r="I21" s="119" t="s">
        <v>236</v>
      </c>
      <c r="J21" s="207">
        <v>0</v>
      </c>
      <c r="K21" s="68" t="s">
        <v>0</v>
      </c>
      <c r="L21" s="127" t="s">
        <v>236</v>
      </c>
      <c r="M21" s="70"/>
      <c r="N21" s="127" t="s">
        <v>236</v>
      </c>
      <c r="O21" s="38"/>
      <c r="P21" s="12"/>
      <c r="Q21" s="12"/>
      <c r="S21" s="95"/>
      <c r="T21" s="96" t="s">
        <v>192</v>
      </c>
      <c r="U21" s="27"/>
    </row>
    <row r="22" spans="1:22" s="46" customFormat="1" ht="36.75" customHeight="1" x14ac:dyDescent="0.3">
      <c r="A22" s="39"/>
      <c r="B22" s="287"/>
      <c r="C22" s="248"/>
      <c r="D22" s="249"/>
      <c r="E22" s="92" t="s">
        <v>59</v>
      </c>
      <c r="F22" s="297" t="s">
        <v>60</v>
      </c>
      <c r="G22" s="297"/>
      <c r="H22" s="297"/>
      <c r="I22" s="118">
        <v>1000000</v>
      </c>
      <c r="J22" s="207">
        <v>0</v>
      </c>
      <c r="K22" s="68" t="s">
        <v>61</v>
      </c>
      <c r="L22" s="69">
        <f t="shared" ref="L22:L51" si="0">IF(J22="","",I22*J22)</f>
        <v>0</v>
      </c>
      <c r="M22" s="70"/>
      <c r="N22" s="71">
        <f t="shared" ref="N22:N51" si="1">IF(J22="","",TRUNC((L22*(1-M22)),-1))</f>
        <v>0</v>
      </c>
      <c r="O22" s="38"/>
      <c r="P22" s="12"/>
      <c r="Q22" s="12"/>
      <c r="S22" s="97"/>
      <c r="T22" s="98"/>
      <c r="U22" s="27"/>
    </row>
    <row r="23" spans="1:22" s="46" customFormat="1" ht="36.75" customHeight="1" x14ac:dyDescent="0.3">
      <c r="A23" s="39"/>
      <c r="B23" s="287"/>
      <c r="C23" s="248"/>
      <c r="D23" s="249"/>
      <c r="E23" s="233" t="s">
        <v>44</v>
      </c>
      <c r="F23" s="297" t="s">
        <v>97</v>
      </c>
      <c r="G23" s="297"/>
      <c r="H23" s="297"/>
      <c r="I23" s="118">
        <v>100000</v>
      </c>
      <c r="J23" s="207">
        <v>0</v>
      </c>
      <c r="K23" s="68" t="s">
        <v>61</v>
      </c>
      <c r="L23" s="69">
        <f t="shared" si="0"/>
        <v>0</v>
      </c>
      <c r="M23" s="70"/>
      <c r="N23" s="71">
        <f t="shared" si="1"/>
        <v>0</v>
      </c>
      <c r="O23" s="38"/>
      <c r="P23" s="12"/>
      <c r="Q23" s="12"/>
      <c r="S23" s="97"/>
      <c r="T23" s="98"/>
      <c r="U23" s="27"/>
    </row>
    <row r="24" spans="1:22" s="46" customFormat="1" ht="36.75" customHeight="1" x14ac:dyDescent="0.3">
      <c r="A24" s="39"/>
      <c r="B24" s="228" t="s">
        <v>610</v>
      </c>
      <c r="C24" s="282" t="s">
        <v>613</v>
      </c>
      <c r="D24" s="326"/>
      <c r="E24" s="283"/>
      <c r="F24" s="297" t="s">
        <v>611</v>
      </c>
      <c r="G24" s="297"/>
      <c r="H24" s="297"/>
      <c r="I24" s="118">
        <v>5000000</v>
      </c>
      <c r="J24" s="207">
        <v>0</v>
      </c>
      <c r="K24" s="68" t="s">
        <v>45</v>
      </c>
      <c r="L24" s="69">
        <f t="shared" si="0"/>
        <v>0</v>
      </c>
      <c r="M24" s="70"/>
      <c r="N24" s="71">
        <f t="shared" si="1"/>
        <v>0</v>
      </c>
      <c r="O24" s="38" t="s">
        <v>612</v>
      </c>
      <c r="P24" s="12"/>
      <c r="Q24" s="12"/>
      <c r="S24" s="97"/>
      <c r="T24" s="98"/>
      <c r="U24" s="27"/>
    </row>
    <row r="25" spans="1:22" s="13" customFormat="1" ht="77.25" customHeight="1" x14ac:dyDescent="0.3">
      <c r="A25" s="39"/>
      <c r="B25" s="263" t="s">
        <v>166</v>
      </c>
      <c r="C25" s="235" t="s">
        <v>31</v>
      </c>
      <c r="D25" s="237"/>
      <c r="E25" s="92" t="s">
        <v>10</v>
      </c>
      <c r="F25" s="243" t="s">
        <v>484</v>
      </c>
      <c r="G25" s="244"/>
      <c r="H25" s="245"/>
      <c r="I25" s="118">
        <v>10000000</v>
      </c>
      <c r="J25" s="207">
        <v>0</v>
      </c>
      <c r="K25" s="68" t="s">
        <v>0</v>
      </c>
      <c r="L25" s="69">
        <f t="shared" si="0"/>
        <v>0</v>
      </c>
      <c r="M25" s="70"/>
      <c r="N25" s="71">
        <f t="shared" si="1"/>
        <v>0</v>
      </c>
      <c r="O25" s="38"/>
      <c r="P25" s="12"/>
      <c r="Q25" s="12"/>
      <c r="S25" s="97"/>
      <c r="T25" s="99" t="s">
        <v>253</v>
      </c>
      <c r="U25" s="27"/>
    </row>
    <row r="26" spans="1:22" s="46" customFormat="1" ht="44.25" customHeight="1" x14ac:dyDescent="0.3">
      <c r="A26" s="39"/>
      <c r="B26" s="287"/>
      <c r="C26" s="246" t="s">
        <v>69</v>
      </c>
      <c r="D26" s="247"/>
      <c r="E26" s="92" t="s">
        <v>63</v>
      </c>
      <c r="F26" s="297" t="s">
        <v>107</v>
      </c>
      <c r="G26" s="297"/>
      <c r="H26" s="297"/>
      <c r="I26" s="118">
        <v>2000000</v>
      </c>
      <c r="J26" s="208">
        <v>0</v>
      </c>
      <c r="K26" s="204" t="s">
        <v>459</v>
      </c>
      <c r="L26" s="205">
        <f t="shared" si="0"/>
        <v>0</v>
      </c>
      <c r="M26" s="70"/>
      <c r="N26" s="71">
        <f t="shared" si="1"/>
        <v>0</v>
      </c>
      <c r="O26" s="206" t="str">
        <f>IF(AND(J26&gt;0,J55=0),"UC 확장팩 및 모바일 APP서비스 선택 시 견적 가능","")</f>
        <v/>
      </c>
      <c r="P26" s="12"/>
      <c r="Q26" s="12"/>
      <c r="S26" s="97"/>
      <c r="T26" s="98"/>
      <c r="U26" s="27"/>
    </row>
    <row r="27" spans="1:22" s="46" customFormat="1" ht="36" customHeight="1" x14ac:dyDescent="0.3">
      <c r="A27" s="39"/>
      <c r="B27" s="287"/>
      <c r="C27" s="248"/>
      <c r="D27" s="249"/>
      <c r="E27" s="92" t="s">
        <v>64</v>
      </c>
      <c r="F27" s="297" t="s">
        <v>108</v>
      </c>
      <c r="G27" s="297"/>
      <c r="H27" s="297"/>
      <c r="I27" s="118">
        <v>2000000</v>
      </c>
      <c r="J27" s="207">
        <v>0</v>
      </c>
      <c r="K27" s="68" t="s">
        <v>68</v>
      </c>
      <c r="L27" s="69">
        <f t="shared" si="0"/>
        <v>0</v>
      </c>
      <c r="M27" s="70"/>
      <c r="N27" s="71">
        <f t="shared" si="1"/>
        <v>0</v>
      </c>
      <c r="O27" s="38" t="s">
        <v>118</v>
      </c>
      <c r="P27" s="12"/>
      <c r="Q27" s="12"/>
      <c r="S27" s="97"/>
      <c r="T27" s="98"/>
      <c r="U27" s="27"/>
    </row>
    <row r="28" spans="1:22" s="46" customFormat="1" ht="65.25" customHeight="1" x14ac:dyDescent="0.3">
      <c r="A28" s="39"/>
      <c r="B28" s="287"/>
      <c r="C28" s="248"/>
      <c r="D28" s="249"/>
      <c r="E28" s="92" t="s">
        <v>65</v>
      </c>
      <c r="F28" s="297" t="s">
        <v>106</v>
      </c>
      <c r="G28" s="297"/>
      <c r="H28" s="297"/>
      <c r="I28" s="118">
        <v>3000000</v>
      </c>
      <c r="J28" s="207">
        <v>0</v>
      </c>
      <c r="K28" s="68" t="s">
        <v>61</v>
      </c>
      <c r="L28" s="69">
        <f t="shared" si="0"/>
        <v>0</v>
      </c>
      <c r="M28" s="70"/>
      <c r="N28" s="71">
        <f t="shared" si="1"/>
        <v>0</v>
      </c>
      <c r="O28" s="38" t="s">
        <v>330</v>
      </c>
      <c r="P28" s="12"/>
      <c r="Q28" s="12"/>
      <c r="S28" s="97"/>
      <c r="T28" s="98"/>
      <c r="U28" s="27"/>
    </row>
    <row r="29" spans="1:22" s="46" customFormat="1" ht="36" customHeight="1" x14ac:dyDescent="0.3">
      <c r="A29" s="39"/>
      <c r="B29" s="287"/>
      <c r="C29" s="248"/>
      <c r="D29" s="249"/>
      <c r="E29" s="92" t="s">
        <v>66</v>
      </c>
      <c r="F29" s="297" t="s">
        <v>67</v>
      </c>
      <c r="G29" s="297"/>
      <c r="H29" s="297"/>
      <c r="I29" s="118">
        <v>4000000</v>
      </c>
      <c r="J29" s="207">
        <v>0</v>
      </c>
      <c r="K29" s="68" t="s">
        <v>68</v>
      </c>
      <c r="L29" s="69">
        <f t="shared" si="0"/>
        <v>0</v>
      </c>
      <c r="M29" s="70"/>
      <c r="N29" s="71">
        <f t="shared" si="1"/>
        <v>0</v>
      </c>
      <c r="O29" s="38"/>
      <c r="P29" s="12"/>
      <c r="Q29" s="12"/>
      <c r="S29" s="97"/>
      <c r="T29" s="98"/>
      <c r="U29" s="27"/>
    </row>
    <row r="30" spans="1:22" s="46" customFormat="1" ht="36" customHeight="1" x14ac:dyDescent="0.3">
      <c r="A30" s="39"/>
      <c r="B30" s="264"/>
      <c r="C30" s="289"/>
      <c r="D30" s="290"/>
      <c r="E30" s="136" t="s">
        <v>254</v>
      </c>
      <c r="F30" s="243" t="s">
        <v>255</v>
      </c>
      <c r="G30" s="244"/>
      <c r="H30" s="245"/>
      <c r="I30" s="119" t="s">
        <v>236</v>
      </c>
      <c r="J30" s="207">
        <v>0</v>
      </c>
      <c r="K30" s="68" t="s">
        <v>45</v>
      </c>
      <c r="L30" s="127" t="s">
        <v>236</v>
      </c>
      <c r="M30" s="70"/>
      <c r="N30" s="127" t="s">
        <v>236</v>
      </c>
      <c r="O30" s="38"/>
      <c r="P30" s="12"/>
      <c r="Q30" s="12"/>
      <c r="S30" s="97"/>
      <c r="T30" s="98"/>
      <c r="U30" s="27"/>
    </row>
    <row r="31" spans="1:22" s="46" customFormat="1" ht="77.25" customHeight="1" x14ac:dyDescent="0.3">
      <c r="A31" s="39"/>
      <c r="B31" s="263" t="s">
        <v>165</v>
      </c>
      <c r="C31" s="235" t="s">
        <v>71</v>
      </c>
      <c r="D31" s="237"/>
      <c r="E31" s="92" t="s">
        <v>70</v>
      </c>
      <c r="F31" s="297" t="s">
        <v>485</v>
      </c>
      <c r="G31" s="297"/>
      <c r="H31" s="297"/>
      <c r="I31" s="118">
        <v>7500000</v>
      </c>
      <c r="J31" s="207">
        <v>0</v>
      </c>
      <c r="K31" s="68" t="s">
        <v>68</v>
      </c>
      <c r="L31" s="69">
        <f t="shared" si="0"/>
        <v>0</v>
      </c>
      <c r="M31" s="70"/>
      <c r="N31" s="71">
        <f t="shared" si="1"/>
        <v>0</v>
      </c>
      <c r="O31" s="38" t="s">
        <v>117</v>
      </c>
      <c r="P31" s="12"/>
      <c r="Q31" s="12"/>
      <c r="S31" s="97"/>
      <c r="T31" s="98"/>
      <c r="U31" s="27"/>
    </row>
    <row r="32" spans="1:22" s="46" customFormat="1" ht="42" customHeight="1" x14ac:dyDescent="0.3">
      <c r="A32" s="39"/>
      <c r="B32" s="287"/>
      <c r="C32" s="246" t="s">
        <v>75</v>
      </c>
      <c r="D32" s="247"/>
      <c r="E32" s="92" t="s">
        <v>72</v>
      </c>
      <c r="F32" s="297" t="s">
        <v>74</v>
      </c>
      <c r="G32" s="297"/>
      <c r="H32" s="297"/>
      <c r="I32" s="118">
        <v>3000000</v>
      </c>
      <c r="J32" s="207">
        <v>0</v>
      </c>
      <c r="K32" s="68" t="s">
        <v>68</v>
      </c>
      <c r="L32" s="69">
        <f t="shared" si="0"/>
        <v>0</v>
      </c>
      <c r="M32" s="70"/>
      <c r="N32" s="71">
        <f t="shared" si="1"/>
        <v>0</v>
      </c>
      <c r="O32" s="38"/>
      <c r="P32" s="12"/>
      <c r="Q32" s="12"/>
      <c r="S32" s="97"/>
      <c r="T32" s="98"/>
      <c r="U32" s="27"/>
    </row>
    <row r="33" spans="1:21" s="46" customFormat="1" ht="42" customHeight="1" x14ac:dyDescent="0.3">
      <c r="A33" s="39"/>
      <c r="B33" s="287"/>
      <c r="C33" s="248"/>
      <c r="D33" s="249"/>
      <c r="E33" s="92" t="s">
        <v>73</v>
      </c>
      <c r="F33" s="297" t="s">
        <v>476</v>
      </c>
      <c r="G33" s="297"/>
      <c r="H33" s="297"/>
      <c r="I33" s="118">
        <v>5000000</v>
      </c>
      <c r="J33" s="207">
        <v>0</v>
      </c>
      <c r="K33" s="68" t="s">
        <v>68</v>
      </c>
      <c r="L33" s="69">
        <f t="shared" si="0"/>
        <v>0</v>
      </c>
      <c r="M33" s="70"/>
      <c r="N33" s="71">
        <f t="shared" si="1"/>
        <v>0</v>
      </c>
      <c r="O33" s="38"/>
      <c r="P33" s="12"/>
      <c r="Q33" s="12"/>
      <c r="S33" s="97"/>
      <c r="T33" s="98"/>
      <c r="U33" s="27"/>
    </row>
    <row r="34" spans="1:21" s="46" customFormat="1" ht="42" customHeight="1" x14ac:dyDescent="0.3">
      <c r="A34" s="39"/>
      <c r="B34" s="287"/>
      <c r="C34" s="248"/>
      <c r="D34" s="249"/>
      <c r="E34" s="221" t="s">
        <v>516</v>
      </c>
      <c r="F34" s="297" t="s">
        <v>505</v>
      </c>
      <c r="G34" s="297"/>
      <c r="H34" s="297"/>
      <c r="I34" s="118">
        <v>2000000</v>
      </c>
      <c r="J34" s="207">
        <v>0</v>
      </c>
      <c r="K34" s="68" t="s">
        <v>508</v>
      </c>
      <c r="L34" s="69">
        <f t="shared" si="0"/>
        <v>0</v>
      </c>
      <c r="M34" s="70"/>
      <c r="N34" s="71">
        <f t="shared" si="1"/>
        <v>0</v>
      </c>
      <c r="O34" s="38"/>
      <c r="P34" s="12"/>
      <c r="Q34" s="12"/>
      <c r="S34" s="97"/>
      <c r="T34" s="98"/>
      <c r="U34" s="27"/>
    </row>
    <row r="35" spans="1:21" s="46" customFormat="1" ht="42" customHeight="1" x14ac:dyDescent="0.3">
      <c r="A35" s="39"/>
      <c r="B35" s="287"/>
      <c r="C35" s="248"/>
      <c r="D35" s="249"/>
      <c r="E35" s="221" t="s">
        <v>506</v>
      </c>
      <c r="F35" s="297" t="s">
        <v>507</v>
      </c>
      <c r="G35" s="297"/>
      <c r="H35" s="297"/>
      <c r="I35" s="118">
        <v>4000000</v>
      </c>
      <c r="J35" s="207">
        <v>0</v>
      </c>
      <c r="K35" s="68" t="s">
        <v>509</v>
      </c>
      <c r="L35" s="69">
        <f t="shared" si="0"/>
        <v>0</v>
      </c>
      <c r="M35" s="70"/>
      <c r="N35" s="71">
        <f t="shared" si="1"/>
        <v>0</v>
      </c>
      <c r="O35" s="38"/>
      <c r="P35" s="12"/>
      <c r="Q35" s="12"/>
      <c r="S35" s="97"/>
      <c r="T35" s="98"/>
      <c r="U35" s="27"/>
    </row>
    <row r="36" spans="1:21" s="46" customFormat="1" ht="84" customHeight="1" x14ac:dyDescent="0.3">
      <c r="A36" s="39"/>
      <c r="B36" s="264"/>
      <c r="C36" s="289"/>
      <c r="D36" s="290"/>
      <c r="E36" s="165" t="s">
        <v>354</v>
      </c>
      <c r="F36" s="297" t="s">
        <v>475</v>
      </c>
      <c r="G36" s="297"/>
      <c r="H36" s="297"/>
      <c r="I36" s="118">
        <v>1000000</v>
      </c>
      <c r="J36" s="208">
        <v>0</v>
      </c>
      <c r="K36" s="204" t="s">
        <v>45</v>
      </c>
      <c r="L36" s="205">
        <f t="shared" si="0"/>
        <v>0</v>
      </c>
      <c r="M36" s="70"/>
      <c r="N36" s="71">
        <f>IF(J36="","",TRUNC((L36*(1-M36)),-1))</f>
        <v>0</v>
      </c>
      <c r="O36" s="206" t="str">
        <f>IF(AND(J36&gt;0,J55=0),"인사 관리, UC 확장팩 및 모바일 APP서비스 선택 시 견적 가능","")</f>
        <v/>
      </c>
      <c r="P36" s="12"/>
      <c r="Q36" s="12"/>
      <c r="S36" s="97"/>
      <c r="T36" s="98"/>
      <c r="U36" s="27"/>
    </row>
    <row r="37" spans="1:21" s="46" customFormat="1" ht="56.25" customHeight="1" x14ac:dyDescent="0.3">
      <c r="A37" s="39"/>
      <c r="B37" s="263" t="s">
        <v>164</v>
      </c>
      <c r="C37" s="235" t="s">
        <v>77</v>
      </c>
      <c r="D37" s="237"/>
      <c r="E37" s="92" t="s">
        <v>76</v>
      </c>
      <c r="F37" s="297" t="s">
        <v>109</v>
      </c>
      <c r="G37" s="297"/>
      <c r="H37" s="297"/>
      <c r="I37" s="118">
        <v>5500000</v>
      </c>
      <c r="J37" s="208">
        <v>0</v>
      </c>
      <c r="K37" s="204" t="s">
        <v>45</v>
      </c>
      <c r="L37" s="205">
        <f t="shared" si="0"/>
        <v>0</v>
      </c>
      <c r="M37" s="70"/>
      <c r="N37" s="71">
        <f t="shared" si="1"/>
        <v>0</v>
      </c>
      <c r="O37" s="206" t="str">
        <f>IF(AND(J37&gt;0,J25=0),"회계관리 선택 시 견적 가능","")</f>
        <v/>
      </c>
      <c r="P37" s="12"/>
      <c r="Q37" s="12"/>
      <c r="S37" s="97"/>
      <c r="T37" s="98"/>
      <c r="U37" s="27"/>
    </row>
    <row r="38" spans="1:21" s="46" customFormat="1" ht="36.75" customHeight="1" x14ac:dyDescent="0.3">
      <c r="A38" s="39"/>
      <c r="B38" s="287"/>
      <c r="C38" s="246" t="s">
        <v>80</v>
      </c>
      <c r="D38" s="247"/>
      <c r="E38" s="92" t="s">
        <v>78</v>
      </c>
      <c r="F38" s="297" t="s">
        <v>477</v>
      </c>
      <c r="G38" s="297"/>
      <c r="H38" s="297"/>
      <c r="I38" s="118">
        <v>1000000</v>
      </c>
      <c r="J38" s="207">
        <v>0</v>
      </c>
      <c r="K38" s="68" t="s">
        <v>68</v>
      </c>
      <c r="L38" s="69">
        <f t="shared" si="0"/>
        <v>0</v>
      </c>
      <c r="M38" s="70"/>
      <c r="N38" s="71">
        <f t="shared" si="1"/>
        <v>0</v>
      </c>
      <c r="O38" s="38"/>
      <c r="P38" s="12"/>
      <c r="Q38" s="12"/>
      <c r="S38" s="97"/>
      <c r="T38" s="98"/>
      <c r="U38" s="27"/>
    </row>
    <row r="39" spans="1:21" s="46" customFormat="1" ht="36.75" customHeight="1" x14ac:dyDescent="0.3">
      <c r="A39" s="39"/>
      <c r="B39" s="287"/>
      <c r="C39" s="248"/>
      <c r="D39" s="249"/>
      <c r="E39" s="92" t="s">
        <v>172</v>
      </c>
      <c r="F39" s="276" t="s">
        <v>474</v>
      </c>
      <c r="G39" s="277"/>
      <c r="H39" s="278"/>
      <c r="I39" s="118">
        <v>1000000</v>
      </c>
      <c r="J39" s="207">
        <v>0</v>
      </c>
      <c r="K39" s="68" t="s">
        <v>68</v>
      </c>
      <c r="L39" s="69">
        <f t="shared" si="0"/>
        <v>0</v>
      </c>
      <c r="M39" s="70"/>
      <c r="N39" s="71">
        <f t="shared" si="1"/>
        <v>0</v>
      </c>
      <c r="O39" s="38"/>
      <c r="P39" s="12"/>
      <c r="Q39" s="12"/>
      <c r="S39" s="97"/>
      <c r="T39" s="98"/>
      <c r="U39" s="27"/>
    </row>
    <row r="40" spans="1:21" s="46" customFormat="1" ht="36.75" customHeight="1" x14ac:dyDescent="0.3">
      <c r="A40" s="39"/>
      <c r="B40" s="287"/>
      <c r="C40" s="248"/>
      <c r="D40" s="249"/>
      <c r="E40" s="187" t="s">
        <v>406</v>
      </c>
      <c r="F40" s="276" t="s">
        <v>407</v>
      </c>
      <c r="G40" s="277"/>
      <c r="H40" s="278"/>
      <c r="I40" s="118">
        <v>1000000</v>
      </c>
      <c r="J40" s="207">
        <v>0</v>
      </c>
      <c r="K40" s="68" t="s">
        <v>45</v>
      </c>
      <c r="L40" s="69">
        <f t="shared" si="0"/>
        <v>0</v>
      </c>
      <c r="M40" s="70"/>
      <c r="N40" s="71">
        <f t="shared" si="1"/>
        <v>0</v>
      </c>
      <c r="O40" s="38"/>
      <c r="P40" s="12"/>
      <c r="Q40" s="12"/>
      <c r="S40" s="97"/>
      <c r="T40" s="98"/>
      <c r="U40" s="27"/>
    </row>
    <row r="41" spans="1:21" s="46" customFormat="1" ht="36.75" customHeight="1" x14ac:dyDescent="0.3">
      <c r="A41" s="39"/>
      <c r="B41" s="287"/>
      <c r="C41" s="248"/>
      <c r="D41" s="249"/>
      <c r="E41" s="92" t="s">
        <v>79</v>
      </c>
      <c r="F41" s="272" t="s">
        <v>473</v>
      </c>
      <c r="G41" s="272"/>
      <c r="H41" s="272"/>
      <c r="I41" s="118">
        <v>2000000</v>
      </c>
      <c r="J41" s="207">
        <v>0</v>
      </c>
      <c r="K41" s="68" t="s">
        <v>68</v>
      </c>
      <c r="L41" s="69">
        <f t="shared" si="0"/>
        <v>0</v>
      </c>
      <c r="M41" s="70"/>
      <c r="N41" s="71">
        <f t="shared" si="1"/>
        <v>0</v>
      </c>
      <c r="O41" s="38"/>
      <c r="P41" s="12"/>
      <c r="Q41" s="12"/>
      <c r="S41" s="97"/>
      <c r="T41" s="98"/>
      <c r="U41" s="27"/>
    </row>
    <row r="42" spans="1:21" s="46" customFormat="1" ht="36.75" customHeight="1" x14ac:dyDescent="0.3">
      <c r="A42" s="39"/>
      <c r="B42" s="287"/>
      <c r="C42" s="248"/>
      <c r="D42" s="249"/>
      <c r="E42" s="92" t="s">
        <v>173</v>
      </c>
      <c r="F42" s="272" t="s">
        <v>472</v>
      </c>
      <c r="G42" s="272"/>
      <c r="H42" s="272"/>
      <c r="I42" s="118">
        <v>2000000</v>
      </c>
      <c r="J42" s="207">
        <v>0</v>
      </c>
      <c r="K42" s="68" t="s">
        <v>68</v>
      </c>
      <c r="L42" s="69">
        <f t="shared" si="0"/>
        <v>0</v>
      </c>
      <c r="M42" s="70"/>
      <c r="N42" s="71">
        <f t="shared" si="1"/>
        <v>0</v>
      </c>
      <c r="O42" s="38"/>
      <c r="P42" s="12"/>
      <c r="Q42" s="12"/>
      <c r="S42" s="97"/>
      <c r="T42" s="98"/>
      <c r="U42" s="27"/>
    </row>
    <row r="43" spans="1:21" s="46" customFormat="1" ht="36.75" customHeight="1" x14ac:dyDescent="0.3">
      <c r="A43" s="39"/>
      <c r="B43" s="287"/>
      <c r="C43" s="248"/>
      <c r="D43" s="249"/>
      <c r="E43" s="92" t="s">
        <v>174</v>
      </c>
      <c r="F43" s="272" t="s">
        <v>471</v>
      </c>
      <c r="G43" s="272"/>
      <c r="H43" s="272"/>
      <c r="I43" s="118">
        <v>2000000</v>
      </c>
      <c r="J43" s="207">
        <v>0</v>
      </c>
      <c r="K43" s="68" t="s">
        <v>68</v>
      </c>
      <c r="L43" s="69">
        <f t="shared" si="0"/>
        <v>0</v>
      </c>
      <c r="M43" s="70"/>
      <c r="N43" s="71">
        <f t="shared" si="1"/>
        <v>0</v>
      </c>
      <c r="O43" s="38"/>
      <c r="P43" s="12"/>
      <c r="Q43" s="12"/>
      <c r="S43" s="97"/>
      <c r="T43" s="98"/>
      <c r="U43" s="27"/>
    </row>
    <row r="44" spans="1:21" s="46" customFormat="1" ht="36.75" customHeight="1" x14ac:dyDescent="0.3">
      <c r="A44" s="39"/>
      <c r="B44" s="287"/>
      <c r="C44" s="289"/>
      <c r="D44" s="290"/>
      <c r="E44" s="227" t="s">
        <v>517</v>
      </c>
      <c r="F44" s="272" t="s">
        <v>518</v>
      </c>
      <c r="G44" s="272"/>
      <c r="H44" s="272"/>
      <c r="I44" s="118">
        <v>2000000</v>
      </c>
      <c r="J44" s="207">
        <v>0</v>
      </c>
      <c r="K44" s="68" t="s">
        <v>68</v>
      </c>
      <c r="L44" s="69">
        <f t="shared" si="0"/>
        <v>0</v>
      </c>
      <c r="M44" s="70"/>
      <c r="N44" s="71">
        <f t="shared" si="1"/>
        <v>0</v>
      </c>
      <c r="O44" s="38"/>
      <c r="P44" s="12"/>
      <c r="Q44" s="12"/>
      <c r="S44" s="97"/>
      <c r="T44" s="98"/>
      <c r="U44" s="27"/>
    </row>
    <row r="45" spans="1:21" s="46" customFormat="1" ht="56.25" customHeight="1" x14ac:dyDescent="0.3">
      <c r="A45" s="39"/>
      <c r="B45" s="228" t="s">
        <v>305</v>
      </c>
      <c r="C45" s="235" t="s">
        <v>71</v>
      </c>
      <c r="D45" s="237"/>
      <c r="E45" s="161" t="s">
        <v>306</v>
      </c>
      <c r="F45" s="276" t="s">
        <v>307</v>
      </c>
      <c r="G45" s="277"/>
      <c r="H45" s="278"/>
      <c r="I45" s="118">
        <v>4000000</v>
      </c>
      <c r="J45" s="208">
        <v>0</v>
      </c>
      <c r="K45" s="204" t="s">
        <v>464</v>
      </c>
      <c r="L45" s="205">
        <f t="shared" si="0"/>
        <v>0</v>
      </c>
      <c r="M45" s="70"/>
      <c r="N45" s="71">
        <f t="shared" si="1"/>
        <v>0</v>
      </c>
      <c r="O45" s="206" t="str">
        <f>IF(AND(J45&gt;0,OR(J25=0,J37=0)),"회계관리, 예산관리 선택 시 견적 가능","")</f>
        <v/>
      </c>
      <c r="P45" s="12"/>
      <c r="Q45" s="12"/>
      <c r="S45" s="97"/>
      <c r="T45" s="98"/>
      <c r="U45" s="27"/>
    </row>
    <row r="46" spans="1:21" s="46" customFormat="1" ht="69.75" customHeight="1" x14ac:dyDescent="0.3">
      <c r="A46" s="39"/>
      <c r="B46" s="263" t="s">
        <v>167</v>
      </c>
      <c r="C46" s="246" t="s">
        <v>62</v>
      </c>
      <c r="D46" s="247"/>
      <c r="E46" s="92" t="s">
        <v>82</v>
      </c>
      <c r="F46" s="272" t="s">
        <v>110</v>
      </c>
      <c r="G46" s="272"/>
      <c r="H46" s="272"/>
      <c r="I46" s="118">
        <v>11000000</v>
      </c>
      <c r="J46" s="207">
        <v>0</v>
      </c>
      <c r="K46" s="68" t="s">
        <v>68</v>
      </c>
      <c r="L46" s="69">
        <f t="shared" si="0"/>
        <v>0</v>
      </c>
      <c r="M46" s="70"/>
      <c r="N46" s="71">
        <f t="shared" si="1"/>
        <v>0</v>
      </c>
      <c r="O46" s="38" t="s">
        <v>294</v>
      </c>
      <c r="P46" s="12"/>
      <c r="Q46" s="12"/>
      <c r="S46" s="97"/>
      <c r="T46" s="98"/>
      <c r="U46" s="27"/>
    </row>
    <row r="47" spans="1:21" s="46" customFormat="1" ht="53.25" customHeight="1" x14ac:dyDescent="0.3">
      <c r="A47" s="39"/>
      <c r="B47" s="264"/>
      <c r="C47" s="235" t="s">
        <v>91</v>
      </c>
      <c r="D47" s="237"/>
      <c r="E47" s="92" t="s">
        <v>89</v>
      </c>
      <c r="F47" s="272" t="s">
        <v>470</v>
      </c>
      <c r="G47" s="272"/>
      <c r="H47" s="272"/>
      <c r="I47" s="118">
        <v>5000000</v>
      </c>
      <c r="J47" s="207">
        <v>0</v>
      </c>
      <c r="K47" s="68" t="s">
        <v>68</v>
      </c>
      <c r="L47" s="69">
        <f t="shared" si="0"/>
        <v>0</v>
      </c>
      <c r="M47" s="70"/>
      <c r="N47" s="71">
        <f t="shared" si="1"/>
        <v>0</v>
      </c>
      <c r="O47" s="38"/>
      <c r="P47" s="12"/>
      <c r="Q47" s="12"/>
      <c r="S47" s="97"/>
      <c r="T47" s="99" t="s">
        <v>171</v>
      </c>
      <c r="U47" s="27"/>
    </row>
    <row r="48" spans="1:21" s="46" customFormat="1" ht="84.75" customHeight="1" x14ac:dyDescent="0.3">
      <c r="A48" s="39"/>
      <c r="B48" s="117" t="s">
        <v>92</v>
      </c>
      <c r="C48" s="246" t="s">
        <v>62</v>
      </c>
      <c r="D48" s="247"/>
      <c r="E48" s="92" t="s">
        <v>83</v>
      </c>
      <c r="F48" s="272" t="s">
        <v>111</v>
      </c>
      <c r="G48" s="272"/>
      <c r="H48" s="272"/>
      <c r="I48" s="118">
        <v>11000000</v>
      </c>
      <c r="J48" s="207">
        <v>0</v>
      </c>
      <c r="K48" s="68" t="s">
        <v>68</v>
      </c>
      <c r="L48" s="69">
        <f t="shared" si="0"/>
        <v>0</v>
      </c>
      <c r="M48" s="70"/>
      <c r="N48" s="71">
        <f t="shared" si="1"/>
        <v>0</v>
      </c>
      <c r="O48" s="38" t="s">
        <v>295</v>
      </c>
      <c r="P48" s="12"/>
      <c r="Q48" s="12"/>
      <c r="S48" s="97"/>
      <c r="T48" s="98"/>
      <c r="U48" s="27"/>
    </row>
    <row r="49" spans="1:21" s="46" customFormat="1" ht="74.25" customHeight="1" x14ac:dyDescent="0.3">
      <c r="A49" s="39"/>
      <c r="B49" s="263" t="s">
        <v>93</v>
      </c>
      <c r="C49" s="235" t="s">
        <v>87</v>
      </c>
      <c r="D49" s="237"/>
      <c r="E49" s="92" t="s">
        <v>84</v>
      </c>
      <c r="F49" s="272" t="s">
        <v>112</v>
      </c>
      <c r="G49" s="272"/>
      <c r="H49" s="272"/>
      <c r="I49" s="118">
        <v>8000000</v>
      </c>
      <c r="J49" s="207">
        <v>0</v>
      </c>
      <c r="K49" s="68" t="s">
        <v>68</v>
      </c>
      <c r="L49" s="69">
        <f t="shared" si="0"/>
        <v>0</v>
      </c>
      <c r="M49" s="70"/>
      <c r="N49" s="71">
        <f t="shared" si="1"/>
        <v>0</v>
      </c>
      <c r="O49" s="38" t="s">
        <v>296</v>
      </c>
      <c r="P49" s="12"/>
      <c r="Q49" s="12"/>
      <c r="S49" s="97"/>
      <c r="T49" s="98"/>
      <c r="U49" s="27"/>
    </row>
    <row r="50" spans="1:21" s="46" customFormat="1" ht="59.25" customHeight="1" x14ac:dyDescent="0.3">
      <c r="A50" s="39"/>
      <c r="B50" s="287"/>
      <c r="C50" s="246" t="s">
        <v>88</v>
      </c>
      <c r="D50" s="247"/>
      <c r="E50" s="92" t="s">
        <v>85</v>
      </c>
      <c r="F50" s="272" t="s">
        <v>113</v>
      </c>
      <c r="G50" s="272"/>
      <c r="H50" s="272"/>
      <c r="I50" s="118">
        <v>4000000</v>
      </c>
      <c r="J50" s="207">
        <v>0</v>
      </c>
      <c r="K50" s="68" t="s">
        <v>68</v>
      </c>
      <c r="L50" s="69">
        <f t="shared" si="0"/>
        <v>0</v>
      </c>
      <c r="M50" s="70"/>
      <c r="N50" s="71">
        <f t="shared" si="1"/>
        <v>0</v>
      </c>
      <c r="O50" s="38" t="s">
        <v>297</v>
      </c>
      <c r="P50" s="12"/>
      <c r="Q50" s="12"/>
      <c r="S50" s="97"/>
      <c r="T50" s="98"/>
      <c r="U50" s="27"/>
    </row>
    <row r="51" spans="1:21" s="46" customFormat="1" ht="54" customHeight="1" x14ac:dyDescent="0.3">
      <c r="A51" s="39"/>
      <c r="B51" s="288"/>
      <c r="C51" s="280"/>
      <c r="D51" s="281"/>
      <c r="E51" s="92" t="s">
        <v>86</v>
      </c>
      <c r="F51" s="272" t="s">
        <v>114</v>
      </c>
      <c r="G51" s="272"/>
      <c r="H51" s="272"/>
      <c r="I51" s="118">
        <v>4000000</v>
      </c>
      <c r="J51" s="207">
        <v>0</v>
      </c>
      <c r="K51" s="68" t="s">
        <v>68</v>
      </c>
      <c r="L51" s="69">
        <f t="shared" si="0"/>
        <v>0</v>
      </c>
      <c r="M51" s="70"/>
      <c r="N51" s="71">
        <f t="shared" si="1"/>
        <v>0</v>
      </c>
      <c r="O51" s="38" t="s">
        <v>298</v>
      </c>
      <c r="P51" s="12"/>
      <c r="Q51" s="12"/>
      <c r="S51" s="97"/>
      <c r="T51" s="98"/>
      <c r="U51" s="27"/>
    </row>
    <row r="52" spans="1:21" s="46" customFormat="1" ht="99.75" customHeight="1" x14ac:dyDescent="0.3">
      <c r="A52" s="39"/>
      <c r="B52" s="125" t="s">
        <v>207</v>
      </c>
      <c r="C52" s="282" t="s">
        <v>208</v>
      </c>
      <c r="D52" s="283"/>
      <c r="E52" s="92" t="s">
        <v>90</v>
      </c>
      <c r="F52" s="276" t="s">
        <v>465</v>
      </c>
      <c r="G52" s="277"/>
      <c r="H52" s="278"/>
      <c r="I52" s="118">
        <v>10000000</v>
      </c>
      <c r="J52" s="207">
        <v>0</v>
      </c>
      <c r="K52" s="68" t="s">
        <v>68</v>
      </c>
      <c r="L52" s="69">
        <f t="shared" ref="L52:L54" si="2">IF(J52="","",I52*J52)</f>
        <v>0</v>
      </c>
      <c r="M52" s="70"/>
      <c r="N52" s="71">
        <f t="shared" ref="N52" si="3">IF(J52="","",TRUNC((L52*(1-M52)),-1))</f>
        <v>0</v>
      </c>
      <c r="O52" s="38" t="s">
        <v>483</v>
      </c>
      <c r="P52" s="12"/>
      <c r="Q52" s="12"/>
      <c r="S52" s="97"/>
      <c r="T52" s="99" t="s">
        <v>209</v>
      </c>
      <c r="U52" s="27"/>
    </row>
    <row r="53" spans="1:21" s="46" customFormat="1" ht="99.75" customHeight="1" x14ac:dyDescent="0.3">
      <c r="A53" s="39"/>
      <c r="B53" s="250" t="s">
        <v>191</v>
      </c>
      <c r="C53" s="246" t="s">
        <v>185</v>
      </c>
      <c r="D53" s="247"/>
      <c r="E53" s="215" t="s">
        <v>499</v>
      </c>
      <c r="F53" s="243" t="s">
        <v>500</v>
      </c>
      <c r="G53" s="244"/>
      <c r="H53" s="245"/>
      <c r="I53" s="135">
        <v>10000000</v>
      </c>
      <c r="J53" s="216">
        <v>0</v>
      </c>
      <c r="K53" s="68" t="s">
        <v>464</v>
      </c>
      <c r="L53" s="69">
        <f t="shared" si="2"/>
        <v>0</v>
      </c>
      <c r="M53" s="70"/>
      <c r="N53" s="71">
        <f t="shared" ref="N53:N54" si="4">IF(J53="","",TRUNC((L53*(1-M53)),-3))</f>
        <v>0</v>
      </c>
      <c r="O53" s="241" t="s">
        <v>503</v>
      </c>
      <c r="P53" s="12"/>
      <c r="Q53" s="12"/>
      <c r="S53" s="97"/>
      <c r="T53" s="99"/>
      <c r="U53" s="27"/>
    </row>
    <row r="54" spans="1:21" s="46" customFormat="1" ht="99.75" customHeight="1" x14ac:dyDescent="0.3">
      <c r="A54" s="39"/>
      <c r="B54" s="251"/>
      <c r="C54" s="248"/>
      <c r="D54" s="249"/>
      <c r="E54" s="215" t="s">
        <v>501</v>
      </c>
      <c r="F54" s="243" t="s">
        <v>502</v>
      </c>
      <c r="G54" s="244"/>
      <c r="H54" s="245"/>
      <c r="I54" s="135">
        <v>10000000</v>
      </c>
      <c r="J54" s="216">
        <v>0</v>
      </c>
      <c r="K54" s="68" t="s">
        <v>464</v>
      </c>
      <c r="L54" s="69">
        <f t="shared" si="2"/>
        <v>0</v>
      </c>
      <c r="M54" s="70"/>
      <c r="N54" s="71">
        <f t="shared" si="4"/>
        <v>0</v>
      </c>
      <c r="O54" s="242"/>
      <c r="P54" s="12"/>
      <c r="Q54" s="12"/>
      <c r="S54" s="97"/>
      <c r="T54" s="99"/>
      <c r="U54" s="27"/>
    </row>
    <row r="55" spans="1:21" s="32" customFormat="1" ht="60.75" customHeight="1" x14ac:dyDescent="0.45">
      <c r="B55" s="251"/>
      <c r="C55" s="248"/>
      <c r="D55" s="249"/>
      <c r="E55" s="91" t="s">
        <v>94</v>
      </c>
      <c r="F55" s="297" t="s">
        <v>119</v>
      </c>
      <c r="G55" s="297"/>
      <c r="H55" s="297"/>
      <c r="I55" s="118">
        <v>8000000</v>
      </c>
      <c r="J55" s="207">
        <v>0</v>
      </c>
      <c r="K55" s="68" t="s">
        <v>53</v>
      </c>
      <c r="L55" s="69">
        <f t="shared" ref="L55:L61" si="5">IF(J55="","",I55*J55)</f>
        <v>0</v>
      </c>
      <c r="M55" s="70"/>
      <c r="N55" s="71">
        <f t="shared" ref="N55:N61" si="6">IF(J55="","",TRUNC((L55*(1-M55)),-3))</f>
        <v>0</v>
      </c>
      <c r="O55" s="38"/>
      <c r="P55" s="12"/>
      <c r="Q55" s="12"/>
      <c r="R55" s="45"/>
      <c r="S55" s="100"/>
      <c r="T55" s="101"/>
      <c r="U55" s="34"/>
    </row>
    <row r="56" spans="1:21" s="32" customFormat="1" ht="41.25" customHeight="1" x14ac:dyDescent="0.45">
      <c r="B56" s="251"/>
      <c r="C56" s="248"/>
      <c r="D56" s="249"/>
      <c r="E56" s="91" t="s">
        <v>95</v>
      </c>
      <c r="F56" s="243" t="s">
        <v>466</v>
      </c>
      <c r="G56" s="244"/>
      <c r="H56" s="245"/>
      <c r="I56" s="118">
        <v>18000000</v>
      </c>
      <c r="J56" s="207">
        <v>0</v>
      </c>
      <c r="K56" s="68" t="s">
        <v>45</v>
      </c>
      <c r="L56" s="69">
        <f t="shared" si="5"/>
        <v>0</v>
      </c>
      <c r="M56" s="70"/>
      <c r="N56" s="71">
        <f t="shared" si="6"/>
        <v>0</v>
      </c>
      <c r="O56" s="38"/>
      <c r="P56" s="12"/>
      <c r="Q56" s="12"/>
      <c r="R56" s="45"/>
      <c r="S56" s="100"/>
      <c r="T56" s="101"/>
      <c r="U56" s="34"/>
    </row>
    <row r="57" spans="1:21" s="32" customFormat="1" ht="41.25" customHeight="1" x14ac:dyDescent="0.45">
      <c r="B57" s="251"/>
      <c r="C57" s="248"/>
      <c r="D57" s="249"/>
      <c r="E57" s="164" t="s">
        <v>327</v>
      </c>
      <c r="F57" s="243" t="s">
        <v>328</v>
      </c>
      <c r="G57" s="244"/>
      <c r="H57" s="245"/>
      <c r="I57" s="118">
        <v>10000000</v>
      </c>
      <c r="J57" s="207">
        <v>0</v>
      </c>
      <c r="K57" s="68" t="s">
        <v>320</v>
      </c>
      <c r="L57" s="69">
        <f t="shared" si="5"/>
        <v>0</v>
      </c>
      <c r="M57" s="70"/>
      <c r="N57" s="71">
        <f t="shared" si="6"/>
        <v>0</v>
      </c>
      <c r="O57" s="38" t="s">
        <v>329</v>
      </c>
      <c r="P57" s="12"/>
      <c r="Q57" s="12"/>
      <c r="R57" s="45"/>
      <c r="S57" s="100"/>
      <c r="T57" s="101"/>
      <c r="U57" s="34"/>
    </row>
    <row r="58" spans="1:21" s="32" customFormat="1" ht="41.25" customHeight="1" x14ac:dyDescent="0.45">
      <c r="B58" s="251"/>
      <c r="C58" s="248"/>
      <c r="D58" s="249"/>
      <c r="E58" s="91" t="s">
        <v>96</v>
      </c>
      <c r="F58" s="243" t="s">
        <v>99</v>
      </c>
      <c r="G58" s="244"/>
      <c r="H58" s="245"/>
      <c r="I58" s="118">
        <v>5000000</v>
      </c>
      <c r="J58" s="207">
        <v>0</v>
      </c>
      <c r="K58" s="68" t="s">
        <v>45</v>
      </c>
      <c r="L58" s="69">
        <f t="shared" si="5"/>
        <v>0</v>
      </c>
      <c r="M58" s="70"/>
      <c r="N58" s="71">
        <f t="shared" si="6"/>
        <v>0</v>
      </c>
      <c r="O58" s="38"/>
      <c r="P58" s="12"/>
      <c r="Q58" s="12"/>
      <c r="R58" s="45"/>
      <c r="S58" s="100"/>
      <c r="T58" s="101"/>
      <c r="U58" s="34"/>
    </row>
    <row r="59" spans="1:21" s="32" customFormat="1" ht="41.25" customHeight="1" x14ac:dyDescent="0.45">
      <c r="B59" s="251"/>
      <c r="C59" s="248"/>
      <c r="D59" s="249"/>
      <c r="E59" s="162" t="s">
        <v>312</v>
      </c>
      <c r="F59" s="243" t="s">
        <v>313</v>
      </c>
      <c r="G59" s="244"/>
      <c r="H59" s="245"/>
      <c r="I59" s="118">
        <v>10000000</v>
      </c>
      <c r="J59" s="207">
        <v>0</v>
      </c>
      <c r="K59" s="68" t="s">
        <v>314</v>
      </c>
      <c r="L59" s="69">
        <f t="shared" si="5"/>
        <v>0</v>
      </c>
      <c r="M59" s="70"/>
      <c r="N59" s="71">
        <f t="shared" si="6"/>
        <v>0</v>
      </c>
      <c r="O59" s="38"/>
      <c r="P59" s="12"/>
      <c r="Q59" s="12"/>
      <c r="R59" s="45"/>
      <c r="S59" s="100"/>
      <c r="T59" s="101"/>
      <c r="U59" s="34"/>
    </row>
    <row r="60" spans="1:21" s="32" customFormat="1" ht="47.25" customHeight="1" x14ac:dyDescent="0.45">
      <c r="B60" s="251"/>
      <c r="C60" s="248"/>
      <c r="D60" s="249"/>
      <c r="E60" s="298" t="s">
        <v>215</v>
      </c>
      <c r="F60" s="284" t="s">
        <v>210</v>
      </c>
      <c r="G60" s="285"/>
      <c r="H60" s="286"/>
      <c r="I60" s="119" t="s">
        <v>211</v>
      </c>
      <c r="J60" s="207">
        <v>0</v>
      </c>
      <c r="K60" s="68" t="s">
        <v>189</v>
      </c>
      <c r="L60" s="127" t="s">
        <v>216</v>
      </c>
      <c r="M60" s="70"/>
      <c r="N60" s="128" t="s">
        <v>211</v>
      </c>
      <c r="O60" s="241" t="s">
        <v>462</v>
      </c>
      <c r="P60" s="12"/>
      <c r="Q60" s="12"/>
      <c r="R60" s="45"/>
      <c r="S60" s="100"/>
      <c r="T60" s="99" t="s">
        <v>190</v>
      </c>
      <c r="U60" s="34"/>
    </row>
    <row r="61" spans="1:21" s="32" customFormat="1" ht="47.25" customHeight="1" x14ac:dyDescent="0.45">
      <c r="B61" s="251"/>
      <c r="C61" s="248"/>
      <c r="D61" s="249"/>
      <c r="E61" s="299"/>
      <c r="F61" s="284" t="s">
        <v>212</v>
      </c>
      <c r="G61" s="285"/>
      <c r="H61" s="286"/>
      <c r="I61" s="118">
        <v>40000</v>
      </c>
      <c r="J61" s="207">
        <v>0</v>
      </c>
      <c r="K61" s="68" t="s">
        <v>189</v>
      </c>
      <c r="L61" s="69">
        <f t="shared" si="5"/>
        <v>0</v>
      </c>
      <c r="M61" s="70"/>
      <c r="N61" s="71">
        <f t="shared" si="6"/>
        <v>0</v>
      </c>
      <c r="O61" s="327"/>
      <c r="P61" s="12"/>
      <c r="Q61" s="12"/>
      <c r="R61" s="45"/>
      <c r="S61" s="100"/>
      <c r="T61" s="99"/>
      <c r="U61" s="34"/>
    </row>
    <row r="62" spans="1:21" s="32" customFormat="1" ht="47.25" customHeight="1" x14ac:dyDescent="0.45">
      <c r="B62" s="251"/>
      <c r="C62" s="248"/>
      <c r="D62" s="249"/>
      <c r="E62" s="300"/>
      <c r="F62" s="284" t="s">
        <v>213</v>
      </c>
      <c r="G62" s="285"/>
      <c r="H62" s="286"/>
      <c r="I62" s="119" t="s">
        <v>214</v>
      </c>
      <c r="J62" s="207">
        <v>0</v>
      </c>
      <c r="K62" s="68" t="s">
        <v>189</v>
      </c>
      <c r="L62" s="127" t="str">
        <f>IF(J62=0,"-",I62*J62)</f>
        <v>-</v>
      </c>
      <c r="M62" s="70"/>
      <c r="N62" s="128" t="str">
        <f>IF(J62=0,"-",TRUNC((L62*(1-M62)),-3))</f>
        <v>-</v>
      </c>
      <c r="O62" s="242"/>
      <c r="P62" s="12"/>
      <c r="Q62" s="12"/>
      <c r="R62" s="45"/>
      <c r="S62" s="100"/>
      <c r="T62" s="99"/>
      <c r="U62" s="34"/>
    </row>
    <row r="63" spans="1:21" s="32" customFormat="1" ht="51" customHeight="1" x14ac:dyDescent="0.3">
      <c r="B63" s="294" t="s">
        <v>422</v>
      </c>
      <c r="C63" s="295"/>
      <c r="D63" s="295"/>
      <c r="E63" s="295"/>
      <c r="F63" s="295"/>
      <c r="G63" s="295"/>
      <c r="H63" s="295"/>
      <c r="I63" s="295"/>
      <c r="J63" s="295"/>
      <c r="K63" s="296"/>
      <c r="L63" s="120">
        <f>SUM(L21:L62)</f>
        <v>0</v>
      </c>
      <c r="M63" s="121">
        <f>IFERROR(1-(N63/L63),0)</f>
        <v>0</v>
      </c>
      <c r="N63" s="120">
        <f>SUM(N21:N62)</f>
        <v>0</v>
      </c>
      <c r="O63" s="122"/>
      <c r="S63" s="34"/>
      <c r="T63" s="34"/>
      <c r="U63" s="34"/>
    </row>
    <row r="64" spans="1:21" s="32" customFormat="1" ht="21.75" customHeight="1" x14ac:dyDescent="0.3">
      <c r="B64" s="49"/>
      <c r="C64" s="49"/>
      <c r="D64" s="49"/>
      <c r="E64" s="49"/>
      <c r="F64" s="49"/>
      <c r="G64" s="49"/>
      <c r="H64" s="49"/>
      <c r="I64" s="49"/>
      <c r="J64" s="49"/>
      <c r="K64" s="50"/>
      <c r="L64" s="51"/>
      <c r="M64" s="52"/>
      <c r="N64" s="51"/>
      <c r="O64" s="53"/>
      <c r="S64" s="34"/>
      <c r="T64" s="34"/>
      <c r="U64" s="34"/>
    </row>
    <row r="65" spans="2:21" s="46" customFormat="1" ht="37.5" customHeight="1" thickBot="1" x14ac:dyDescent="0.5">
      <c r="B65" s="33" t="s">
        <v>513</v>
      </c>
      <c r="C65" s="32"/>
      <c r="D65" s="32"/>
      <c r="E65" s="32"/>
      <c r="F65" s="32"/>
      <c r="G65" s="32"/>
      <c r="H65" s="32"/>
      <c r="I65" s="32"/>
      <c r="J65" s="34"/>
      <c r="K65" s="34"/>
      <c r="L65" s="32"/>
      <c r="M65" s="34"/>
      <c r="N65" s="32"/>
      <c r="O65" s="35" t="s">
        <v>8</v>
      </c>
      <c r="P65" s="32"/>
      <c r="Q65" s="32"/>
      <c r="R65" s="32"/>
      <c r="S65" s="29"/>
      <c r="T65" s="29"/>
      <c r="U65" s="29"/>
    </row>
    <row r="66" spans="2:21" s="46" customFormat="1" ht="44.25" customHeight="1" thickBot="1" x14ac:dyDescent="0.35">
      <c r="B66" s="72" t="s">
        <v>116</v>
      </c>
      <c r="C66" s="329" t="s">
        <v>1</v>
      </c>
      <c r="D66" s="330"/>
      <c r="E66" s="331"/>
      <c r="F66" s="72" t="s">
        <v>16</v>
      </c>
      <c r="G66" s="72"/>
      <c r="H66" s="72"/>
      <c r="I66" s="73" t="s">
        <v>47</v>
      </c>
      <c r="J66" s="73" t="s">
        <v>2</v>
      </c>
      <c r="K66" s="73" t="s">
        <v>48</v>
      </c>
      <c r="L66" s="73" t="s">
        <v>19</v>
      </c>
      <c r="M66" s="73" t="s">
        <v>29</v>
      </c>
      <c r="N66" s="73" t="s">
        <v>28</v>
      </c>
      <c r="O66" s="73" t="s">
        <v>52</v>
      </c>
      <c r="P66" s="32"/>
      <c r="Q66" s="32"/>
      <c r="R66" s="32"/>
      <c r="S66" s="93" t="s">
        <v>194</v>
      </c>
      <c r="T66" s="94" t="s">
        <v>195</v>
      </c>
      <c r="U66" s="29"/>
    </row>
    <row r="67" spans="2:21" s="46" customFormat="1" ht="44.25" customHeight="1" x14ac:dyDescent="0.3">
      <c r="B67" s="367" t="s">
        <v>225</v>
      </c>
      <c r="C67" s="268" t="s">
        <v>488</v>
      </c>
      <c r="D67" s="268"/>
      <c r="E67" s="268"/>
      <c r="F67" s="238"/>
      <c r="G67" s="239"/>
      <c r="H67" s="240"/>
      <c r="I67" s="119" t="s">
        <v>58</v>
      </c>
      <c r="J67" s="207">
        <v>0</v>
      </c>
      <c r="K67" s="68" t="s">
        <v>227</v>
      </c>
      <c r="L67" s="127" t="str">
        <f>IF(J67=0,"-",I67*J67)</f>
        <v>-</v>
      </c>
      <c r="M67" s="70"/>
      <c r="N67" s="128" t="str">
        <f>IF(J67=0,"-",TRUNC((L67*(1-M67)),-3))</f>
        <v>-</v>
      </c>
      <c r="O67" s="214"/>
      <c r="P67" s="32"/>
      <c r="Q67" s="32"/>
      <c r="R67" s="32"/>
      <c r="S67" s="217"/>
      <c r="T67" s="218"/>
      <c r="U67" s="29"/>
    </row>
    <row r="68" spans="2:21" s="46" customFormat="1" ht="44.25" customHeight="1" x14ac:dyDescent="0.3">
      <c r="B68" s="367"/>
      <c r="C68" s="268" t="s">
        <v>300</v>
      </c>
      <c r="D68" s="268"/>
      <c r="E68" s="268"/>
      <c r="F68" s="238" t="s">
        <v>226</v>
      </c>
      <c r="G68" s="239"/>
      <c r="H68" s="240"/>
      <c r="I68" s="119" t="s">
        <v>58</v>
      </c>
      <c r="J68" s="207">
        <v>0</v>
      </c>
      <c r="K68" s="68" t="s">
        <v>227</v>
      </c>
      <c r="L68" s="127" t="str">
        <f>IF(J68=0,"-",I68*J68)</f>
        <v>-</v>
      </c>
      <c r="M68" s="70"/>
      <c r="N68" s="128" t="str">
        <f>IF(J68=0,"-",TRUNC((L68*(1-M68)),-3))</f>
        <v>-</v>
      </c>
      <c r="O68" s="139"/>
      <c r="P68" s="32"/>
      <c r="Q68" s="32"/>
      <c r="R68" s="32"/>
      <c r="S68" s="97"/>
      <c r="T68" s="98"/>
      <c r="U68" s="29"/>
    </row>
    <row r="69" spans="2:21" s="46" customFormat="1" ht="44.25" customHeight="1" x14ac:dyDescent="0.3">
      <c r="B69" s="367"/>
      <c r="C69" s="246" t="s">
        <v>317</v>
      </c>
      <c r="D69" s="247"/>
      <c r="E69" s="163" t="s">
        <v>318</v>
      </c>
      <c r="F69" s="238" t="s">
        <v>319</v>
      </c>
      <c r="G69" s="239"/>
      <c r="H69" s="240"/>
      <c r="I69" s="118">
        <v>5000000</v>
      </c>
      <c r="J69" s="208">
        <v>0</v>
      </c>
      <c r="K69" s="204" t="s">
        <v>459</v>
      </c>
      <c r="L69" s="205">
        <f>IF(J69="","",I69*J69)</f>
        <v>0</v>
      </c>
      <c r="M69" s="70"/>
      <c r="N69" s="71">
        <f t="shared" ref="N69:N82" si="7">IF(J69="","",TRUNC((L69*(1-M69)),-3))</f>
        <v>0</v>
      </c>
      <c r="O69" s="206" t="str">
        <f>IF(AND(J69&gt;0,J70=0),"연동비도 함께 견적 필요","")</f>
        <v/>
      </c>
      <c r="P69" s="32"/>
      <c r="Q69" s="32"/>
      <c r="R69" s="32"/>
      <c r="S69" s="97"/>
      <c r="T69" s="98"/>
      <c r="U69" s="29"/>
    </row>
    <row r="70" spans="2:21" s="46" customFormat="1" ht="44.25" customHeight="1" x14ac:dyDescent="0.3">
      <c r="B70" s="367"/>
      <c r="C70" s="248"/>
      <c r="D70" s="249"/>
      <c r="E70" s="163" t="s">
        <v>321</v>
      </c>
      <c r="F70" s="238" t="s">
        <v>322</v>
      </c>
      <c r="G70" s="239"/>
      <c r="H70" s="240"/>
      <c r="I70" s="118">
        <v>2000000</v>
      </c>
      <c r="J70" s="208">
        <v>0</v>
      </c>
      <c r="K70" s="204" t="s">
        <v>459</v>
      </c>
      <c r="L70" s="205">
        <f t="shared" ref="L70:L82" si="8">IF(J70="","",I70*J70)</f>
        <v>0</v>
      </c>
      <c r="M70" s="70"/>
      <c r="N70" s="71">
        <f t="shared" si="7"/>
        <v>0</v>
      </c>
      <c r="O70" s="206" t="str">
        <f>IF(AND(J70&gt;0,J69=0),"라이선스도 함께 견적 필요","")</f>
        <v/>
      </c>
      <c r="P70" s="32"/>
      <c r="Q70" s="32"/>
      <c r="R70" s="32"/>
      <c r="S70" s="97"/>
      <c r="T70" s="98"/>
      <c r="U70" s="29"/>
    </row>
    <row r="71" spans="2:21" s="46" customFormat="1" ht="44.25" customHeight="1" x14ac:dyDescent="0.3">
      <c r="B71" s="367"/>
      <c r="C71" s="248"/>
      <c r="D71" s="249"/>
      <c r="E71" s="163" t="s">
        <v>323</v>
      </c>
      <c r="F71" s="238" t="s">
        <v>324</v>
      </c>
      <c r="G71" s="239"/>
      <c r="H71" s="240"/>
      <c r="I71" s="118">
        <v>3000000</v>
      </c>
      <c r="J71" s="208">
        <v>0</v>
      </c>
      <c r="K71" s="204" t="s">
        <v>459</v>
      </c>
      <c r="L71" s="205">
        <f t="shared" si="8"/>
        <v>0</v>
      </c>
      <c r="M71" s="70"/>
      <c r="N71" s="71">
        <f t="shared" si="7"/>
        <v>0</v>
      </c>
      <c r="O71" s="206" t="str">
        <f>IF(AND(J71&gt;0,J72=0),"연동비도 함께 견적 필요","")</f>
        <v/>
      </c>
      <c r="P71" s="32"/>
      <c r="Q71" s="32"/>
      <c r="R71" s="32"/>
      <c r="S71" s="97"/>
      <c r="T71" s="98"/>
      <c r="U71" s="29"/>
    </row>
    <row r="72" spans="2:21" s="46" customFormat="1" ht="44.25" customHeight="1" x14ac:dyDescent="0.3">
      <c r="B72" s="367"/>
      <c r="C72" s="289"/>
      <c r="D72" s="290"/>
      <c r="E72" s="163" t="s">
        <v>325</v>
      </c>
      <c r="F72" s="238" t="s">
        <v>326</v>
      </c>
      <c r="G72" s="239"/>
      <c r="H72" s="240"/>
      <c r="I72" s="118">
        <v>1000000</v>
      </c>
      <c r="J72" s="208">
        <v>0</v>
      </c>
      <c r="K72" s="204" t="s">
        <v>459</v>
      </c>
      <c r="L72" s="205">
        <f t="shared" si="8"/>
        <v>0</v>
      </c>
      <c r="M72" s="70"/>
      <c r="N72" s="71">
        <f t="shared" si="7"/>
        <v>0</v>
      </c>
      <c r="O72" s="206" t="str">
        <f>IF(AND(J72&gt;0,J71=0),"라이선스도 함께 견적 필요","")</f>
        <v/>
      </c>
      <c r="P72" s="32"/>
      <c r="Q72" s="32"/>
      <c r="R72" s="32"/>
      <c r="S72" s="97"/>
      <c r="T72" s="98"/>
      <c r="U72" s="29"/>
    </row>
    <row r="73" spans="2:21" s="46" customFormat="1" ht="44.25" customHeight="1" x14ac:dyDescent="0.3">
      <c r="B73" s="367"/>
      <c r="C73" s="246" t="s">
        <v>437</v>
      </c>
      <c r="D73" s="247"/>
      <c r="E73" s="199" t="s">
        <v>438</v>
      </c>
      <c r="F73" s="276" t="s">
        <v>439</v>
      </c>
      <c r="G73" s="277"/>
      <c r="H73" s="278"/>
      <c r="I73" s="118">
        <v>5000000</v>
      </c>
      <c r="J73" s="208">
        <v>0</v>
      </c>
      <c r="K73" s="204" t="s">
        <v>459</v>
      </c>
      <c r="L73" s="205">
        <f t="shared" si="8"/>
        <v>0</v>
      </c>
      <c r="M73" s="70"/>
      <c r="N73" s="71">
        <f t="shared" si="7"/>
        <v>0</v>
      </c>
      <c r="O73" s="206" t="str">
        <f>IF(AND(J73&gt;0,J74=0),"연동비도 함께 견적 필요","")</f>
        <v/>
      </c>
      <c r="P73" s="32"/>
      <c r="Q73" s="32"/>
      <c r="R73" s="32"/>
      <c r="S73" s="97"/>
      <c r="T73" s="98"/>
      <c r="U73" s="29"/>
    </row>
    <row r="74" spans="2:21" s="46" customFormat="1" ht="44.25" customHeight="1" x14ac:dyDescent="0.3">
      <c r="B74" s="367"/>
      <c r="C74" s="289"/>
      <c r="D74" s="290"/>
      <c r="E74" s="199" t="s">
        <v>444</v>
      </c>
      <c r="F74" s="200" t="s">
        <v>322</v>
      </c>
      <c r="G74" s="201"/>
      <c r="H74" s="202"/>
      <c r="I74" s="118">
        <v>2000000</v>
      </c>
      <c r="J74" s="208">
        <v>0</v>
      </c>
      <c r="K74" s="204" t="s">
        <v>459</v>
      </c>
      <c r="L74" s="205">
        <f t="shared" si="8"/>
        <v>0</v>
      </c>
      <c r="M74" s="70"/>
      <c r="N74" s="71">
        <f t="shared" si="7"/>
        <v>0</v>
      </c>
      <c r="O74" s="206" t="str">
        <f>IF(AND(J74&gt;0,J73=0),"연동비도 함께 견적 필요","")</f>
        <v/>
      </c>
      <c r="P74" s="32"/>
      <c r="Q74" s="32"/>
      <c r="R74" s="32"/>
      <c r="S74" s="97"/>
      <c r="T74" s="98"/>
      <c r="U74" s="29"/>
    </row>
    <row r="75" spans="2:21" s="46" customFormat="1" ht="75.75" customHeight="1" x14ac:dyDescent="0.3">
      <c r="B75" s="367"/>
      <c r="C75" s="246" t="s">
        <v>489</v>
      </c>
      <c r="D75" s="247"/>
      <c r="E75" s="213" t="s">
        <v>490</v>
      </c>
      <c r="F75" s="276" t="s">
        <v>491</v>
      </c>
      <c r="G75" s="277"/>
      <c r="H75" s="278"/>
      <c r="I75" s="118">
        <v>5000000</v>
      </c>
      <c r="J75" s="219">
        <v>0</v>
      </c>
      <c r="K75" s="204" t="s">
        <v>492</v>
      </c>
      <c r="L75" s="205">
        <f t="shared" si="8"/>
        <v>0</v>
      </c>
      <c r="M75" s="70"/>
      <c r="N75" s="71">
        <f t="shared" si="7"/>
        <v>0</v>
      </c>
      <c r="O75" s="206" t="str">
        <f>IF(AND(J75&gt;0,J76=0),"연동비도 함께 견적 필요","")</f>
        <v/>
      </c>
      <c r="P75" s="32"/>
      <c r="Q75" s="32"/>
      <c r="R75" s="32"/>
      <c r="S75" s="97"/>
      <c r="T75" s="98"/>
      <c r="U75" s="29"/>
    </row>
    <row r="76" spans="2:21" s="46" customFormat="1" ht="44.25" customHeight="1" x14ac:dyDescent="0.3">
      <c r="B76" s="367"/>
      <c r="C76" s="289"/>
      <c r="D76" s="290"/>
      <c r="E76" s="213" t="s">
        <v>493</v>
      </c>
      <c r="F76" s="210" t="s">
        <v>494</v>
      </c>
      <c r="G76" s="211"/>
      <c r="H76" s="212"/>
      <c r="I76" s="118">
        <v>2000000</v>
      </c>
      <c r="J76" s="219">
        <v>0</v>
      </c>
      <c r="K76" s="204" t="s">
        <v>492</v>
      </c>
      <c r="L76" s="205">
        <f t="shared" si="8"/>
        <v>0</v>
      </c>
      <c r="M76" s="70"/>
      <c r="N76" s="71">
        <f t="shared" si="7"/>
        <v>0</v>
      </c>
      <c r="O76" s="206" t="str">
        <f>IF(AND(J76&gt;0,J75=0),"라이선스도 함께 견적 필요","")</f>
        <v/>
      </c>
      <c r="P76" s="32"/>
      <c r="Q76" s="32"/>
      <c r="R76" s="32"/>
      <c r="S76" s="97"/>
      <c r="T76" s="98"/>
      <c r="U76" s="29"/>
    </row>
    <row r="77" spans="2:21" s="46" customFormat="1" ht="44.25" customHeight="1" x14ac:dyDescent="0.3">
      <c r="B77" s="367"/>
      <c r="C77" s="246" t="s">
        <v>495</v>
      </c>
      <c r="D77" s="247"/>
      <c r="E77" s="213" t="s">
        <v>490</v>
      </c>
      <c r="F77" s="276" t="s">
        <v>496</v>
      </c>
      <c r="G77" s="277"/>
      <c r="H77" s="278"/>
      <c r="I77" s="118">
        <v>5000000</v>
      </c>
      <c r="J77" s="219">
        <v>0</v>
      </c>
      <c r="K77" s="204" t="s">
        <v>497</v>
      </c>
      <c r="L77" s="205">
        <f t="shared" si="8"/>
        <v>0</v>
      </c>
      <c r="M77" s="70"/>
      <c r="N77" s="71">
        <f t="shared" si="7"/>
        <v>0</v>
      </c>
      <c r="O77" s="206" t="str">
        <f>IF(AND(J77&gt;0,J78=0),"연동비도 함께 견적 필요","")</f>
        <v/>
      </c>
      <c r="P77" s="32"/>
      <c r="Q77" s="32"/>
      <c r="R77" s="32"/>
      <c r="S77" s="97"/>
      <c r="T77" s="98"/>
      <c r="U77" s="29"/>
    </row>
    <row r="78" spans="2:21" s="46" customFormat="1" ht="44.25" customHeight="1" x14ac:dyDescent="0.3">
      <c r="B78" s="367"/>
      <c r="C78" s="289"/>
      <c r="D78" s="290"/>
      <c r="E78" s="213" t="s">
        <v>493</v>
      </c>
      <c r="F78" s="210" t="s">
        <v>498</v>
      </c>
      <c r="G78" s="211"/>
      <c r="H78" s="212"/>
      <c r="I78" s="118">
        <v>2000000</v>
      </c>
      <c r="J78" s="219">
        <v>0</v>
      </c>
      <c r="K78" s="204" t="s">
        <v>492</v>
      </c>
      <c r="L78" s="205">
        <f t="shared" si="8"/>
        <v>0</v>
      </c>
      <c r="M78" s="70"/>
      <c r="N78" s="71">
        <f t="shared" si="7"/>
        <v>0</v>
      </c>
      <c r="O78" s="206" t="str">
        <f>IF(AND(J78&gt;0,J77=0),"라이선스도 함께 견적 필요","")</f>
        <v/>
      </c>
      <c r="P78" s="32"/>
      <c r="Q78" s="32"/>
      <c r="R78" s="32"/>
      <c r="S78" s="97"/>
      <c r="T78" s="98"/>
      <c r="U78" s="29"/>
    </row>
    <row r="79" spans="2:21" s="46" customFormat="1" ht="44.25" customHeight="1" x14ac:dyDescent="0.3">
      <c r="B79" s="367"/>
      <c r="C79" s="246" t="s">
        <v>519</v>
      </c>
      <c r="D79" s="247"/>
      <c r="E79" s="227" t="s">
        <v>520</v>
      </c>
      <c r="F79" s="276" t="s">
        <v>525</v>
      </c>
      <c r="G79" s="277"/>
      <c r="H79" s="278"/>
      <c r="I79" s="118">
        <v>5000000</v>
      </c>
      <c r="J79" s="219">
        <v>0</v>
      </c>
      <c r="K79" s="204" t="s">
        <v>497</v>
      </c>
      <c r="L79" s="205">
        <f t="shared" ref="L79:L80" si="9">IF(J79="","",I79*J79)</f>
        <v>0</v>
      </c>
      <c r="M79" s="70"/>
      <c r="N79" s="71">
        <f t="shared" ref="N79:N80" si="10">IF(J79="","",TRUNC((L79*(1-M79)),-3))</f>
        <v>0</v>
      </c>
      <c r="O79" s="206" t="str">
        <f>IF(AND(J79&gt;0,J80=0),"연동비도 함께 견적 필요","")</f>
        <v/>
      </c>
      <c r="P79" s="32"/>
      <c r="Q79" s="32"/>
      <c r="R79" s="32"/>
      <c r="S79" s="97"/>
      <c r="T79" s="98"/>
      <c r="U79" s="29"/>
    </row>
    <row r="80" spans="2:21" s="46" customFormat="1" ht="44.25" customHeight="1" x14ac:dyDescent="0.3">
      <c r="B80" s="367"/>
      <c r="C80" s="289"/>
      <c r="D80" s="290"/>
      <c r="E80" s="227" t="s">
        <v>521</v>
      </c>
      <c r="F80" s="224" t="s">
        <v>522</v>
      </c>
      <c r="G80" s="225"/>
      <c r="H80" s="226"/>
      <c r="I80" s="118">
        <v>2000000</v>
      </c>
      <c r="J80" s="219">
        <v>0</v>
      </c>
      <c r="K80" s="204" t="s">
        <v>492</v>
      </c>
      <c r="L80" s="205">
        <f t="shared" si="9"/>
        <v>0</v>
      </c>
      <c r="M80" s="70"/>
      <c r="N80" s="71">
        <f t="shared" si="10"/>
        <v>0</v>
      </c>
      <c r="O80" s="206" t="str">
        <f>IF(AND(J80&gt;0,J79=0),"라이선스도 함께 견적 필요","")</f>
        <v/>
      </c>
      <c r="P80" s="32"/>
      <c r="Q80" s="32"/>
      <c r="R80" s="32"/>
      <c r="S80" s="97"/>
      <c r="T80" s="98"/>
      <c r="U80" s="29"/>
    </row>
    <row r="81" spans="1:21" s="46" customFormat="1" ht="44.25" customHeight="1" x14ac:dyDescent="0.3">
      <c r="B81" s="367"/>
      <c r="C81" s="235" t="s">
        <v>440</v>
      </c>
      <c r="D81" s="236"/>
      <c r="E81" s="237"/>
      <c r="F81" s="276" t="s">
        <v>523</v>
      </c>
      <c r="G81" s="277"/>
      <c r="H81" s="278"/>
      <c r="I81" s="118">
        <v>3000000</v>
      </c>
      <c r="J81" s="207">
        <v>0</v>
      </c>
      <c r="K81" s="68" t="s">
        <v>460</v>
      </c>
      <c r="L81" s="69">
        <f t="shared" si="8"/>
        <v>0</v>
      </c>
      <c r="M81" s="70"/>
      <c r="N81" s="71">
        <f t="shared" si="7"/>
        <v>0</v>
      </c>
      <c r="O81" s="206" t="str">
        <f>IF(J81&gt;0,"- 타사 데이터 추출 견적 필요","")</f>
        <v/>
      </c>
      <c r="P81" s="32"/>
      <c r="Q81" s="32"/>
      <c r="R81" s="32"/>
      <c r="S81" s="97"/>
      <c r="T81" s="98"/>
      <c r="U81" s="29"/>
    </row>
    <row r="82" spans="1:21" s="46" customFormat="1" ht="44.25" customHeight="1" x14ac:dyDescent="0.3">
      <c r="B82" s="368"/>
      <c r="C82" s="235" t="s">
        <v>441</v>
      </c>
      <c r="D82" s="236"/>
      <c r="E82" s="237"/>
      <c r="F82" s="276" t="s">
        <v>442</v>
      </c>
      <c r="G82" s="277"/>
      <c r="H82" s="278"/>
      <c r="I82" s="118">
        <v>3000000</v>
      </c>
      <c r="J82" s="207">
        <v>0</v>
      </c>
      <c r="K82" s="68" t="s">
        <v>461</v>
      </c>
      <c r="L82" s="69">
        <f t="shared" si="8"/>
        <v>0</v>
      </c>
      <c r="M82" s="70"/>
      <c r="N82" s="71">
        <f t="shared" si="7"/>
        <v>0</v>
      </c>
      <c r="O82" s="206" t="str">
        <f>IF(J82&gt;0,"- WEHAGO 데이터 추출 별도 견적 필요","")</f>
        <v/>
      </c>
      <c r="P82" s="32"/>
      <c r="Q82" s="32"/>
      <c r="R82" s="32"/>
      <c r="S82" s="97"/>
      <c r="T82" s="98"/>
      <c r="U82" s="29"/>
    </row>
    <row r="83" spans="1:21" s="46" customFormat="1" ht="84" customHeight="1" x14ac:dyDescent="0.3">
      <c r="A83" s="367" t="s">
        <v>228</v>
      </c>
      <c r="B83" s="270"/>
      <c r="C83" s="246" t="s">
        <v>229</v>
      </c>
      <c r="D83" s="247"/>
      <c r="E83" s="137" t="s">
        <v>230</v>
      </c>
      <c r="F83" s="276" t="s">
        <v>511</v>
      </c>
      <c r="G83" s="277"/>
      <c r="H83" s="278"/>
      <c r="I83" s="118">
        <v>5000000</v>
      </c>
      <c r="J83" s="207">
        <v>0</v>
      </c>
      <c r="K83" s="68" t="s">
        <v>227</v>
      </c>
      <c r="L83" s="69">
        <f t="shared" ref="L83:L85" si="11">IF(J83="","",I83*J83)</f>
        <v>0</v>
      </c>
      <c r="M83" s="70"/>
      <c r="N83" s="71">
        <f t="shared" ref="N83:N85" si="12">IF(J83="","",TRUNC((L83*(1-M83)),-3))</f>
        <v>0</v>
      </c>
      <c r="O83" s="139"/>
      <c r="P83" s="32"/>
      <c r="Q83" s="32"/>
      <c r="R83" s="32"/>
      <c r="S83" s="97"/>
      <c r="T83" s="98"/>
      <c r="U83" s="29"/>
    </row>
    <row r="84" spans="1:21" s="46" customFormat="1" ht="44.25" customHeight="1" x14ac:dyDescent="0.3">
      <c r="A84" s="367"/>
      <c r="B84" s="270"/>
      <c r="C84" s="289"/>
      <c r="D84" s="290"/>
      <c r="E84" s="223" t="s">
        <v>510</v>
      </c>
      <c r="F84" s="276" t="s">
        <v>512</v>
      </c>
      <c r="G84" s="277"/>
      <c r="H84" s="278"/>
      <c r="I84" s="118">
        <v>300000</v>
      </c>
      <c r="J84" s="207">
        <v>0</v>
      </c>
      <c r="K84" s="68" t="s">
        <v>227</v>
      </c>
      <c r="L84" s="69">
        <f t="shared" ref="L84" si="13">IF(J84="","",I84*J84)</f>
        <v>0</v>
      </c>
      <c r="M84" s="70"/>
      <c r="N84" s="71">
        <f t="shared" si="12"/>
        <v>0</v>
      </c>
      <c r="O84" s="222"/>
      <c r="P84" s="32"/>
      <c r="Q84" s="32"/>
      <c r="R84" s="32"/>
      <c r="S84" s="97"/>
      <c r="T84" s="98"/>
      <c r="U84" s="29"/>
    </row>
    <row r="85" spans="1:21" s="46" customFormat="1" ht="44.25" customHeight="1" x14ac:dyDescent="0.3">
      <c r="B85" s="138" t="s">
        <v>231</v>
      </c>
      <c r="C85" s="268" t="s">
        <v>232</v>
      </c>
      <c r="D85" s="268"/>
      <c r="E85" s="268"/>
      <c r="F85" s="238" t="s">
        <v>233</v>
      </c>
      <c r="G85" s="239"/>
      <c r="H85" s="240"/>
      <c r="I85" s="118">
        <v>3000000</v>
      </c>
      <c r="J85" s="207">
        <v>0</v>
      </c>
      <c r="K85" s="68" t="s">
        <v>227</v>
      </c>
      <c r="L85" s="69">
        <f t="shared" si="11"/>
        <v>0</v>
      </c>
      <c r="M85" s="70"/>
      <c r="N85" s="71">
        <f t="shared" si="12"/>
        <v>0</v>
      </c>
      <c r="O85" s="139"/>
      <c r="P85" s="32"/>
      <c r="Q85" s="32"/>
      <c r="R85" s="32"/>
      <c r="S85" s="97"/>
      <c r="T85" s="98"/>
      <c r="U85" s="29"/>
    </row>
    <row r="86" spans="1:21" s="46" customFormat="1" ht="44.25" customHeight="1" x14ac:dyDescent="0.3">
      <c r="B86" s="269" t="s">
        <v>234</v>
      </c>
      <c r="C86" s="268" t="s">
        <v>331</v>
      </c>
      <c r="D86" s="268"/>
      <c r="E86" s="268"/>
      <c r="F86" s="238" t="s">
        <v>235</v>
      </c>
      <c r="G86" s="239"/>
      <c r="H86" s="240"/>
      <c r="I86" s="119" t="s">
        <v>424</v>
      </c>
      <c r="J86" s="207">
        <v>0</v>
      </c>
      <c r="K86" s="68" t="s">
        <v>227</v>
      </c>
      <c r="L86" s="127" t="s">
        <v>236</v>
      </c>
      <c r="M86" s="70"/>
      <c r="N86" s="128" t="s">
        <v>236</v>
      </c>
      <c r="O86" s="139"/>
      <c r="P86" s="32"/>
      <c r="Q86" s="32"/>
      <c r="R86" s="32"/>
      <c r="S86" s="97"/>
      <c r="T86" s="98"/>
      <c r="U86" s="29"/>
    </row>
    <row r="87" spans="1:21" s="46" customFormat="1" ht="78" x14ac:dyDescent="0.3">
      <c r="B87" s="270"/>
      <c r="C87" s="268" t="s">
        <v>332</v>
      </c>
      <c r="D87" s="268"/>
      <c r="E87" s="268"/>
      <c r="F87" s="238" t="s">
        <v>237</v>
      </c>
      <c r="G87" s="239"/>
      <c r="H87" s="240"/>
      <c r="I87" s="119" t="s">
        <v>424</v>
      </c>
      <c r="J87" s="207">
        <v>0</v>
      </c>
      <c r="K87" s="68" t="s">
        <v>227</v>
      </c>
      <c r="L87" s="127" t="s">
        <v>236</v>
      </c>
      <c r="M87" s="70"/>
      <c r="N87" s="128" t="s">
        <v>236</v>
      </c>
      <c r="O87" s="186" t="s">
        <v>405</v>
      </c>
      <c r="P87" s="32"/>
      <c r="Q87" s="32"/>
      <c r="R87" s="32"/>
      <c r="S87" s="97"/>
      <c r="T87" s="98"/>
      <c r="U87" s="29"/>
    </row>
    <row r="88" spans="1:21" s="46" customFormat="1" ht="44.25" customHeight="1" x14ac:dyDescent="0.3">
      <c r="B88" s="270"/>
      <c r="C88" s="268" t="s">
        <v>333</v>
      </c>
      <c r="D88" s="268"/>
      <c r="E88" s="268"/>
      <c r="F88" s="238" t="s">
        <v>238</v>
      </c>
      <c r="G88" s="239"/>
      <c r="H88" s="240"/>
      <c r="I88" s="118">
        <v>3000000</v>
      </c>
      <c r="J88" s="207">
        <v>0</v>
      </c>
      <c r="K88" s="68" t="s">
        <v>227</v>
      </c>
      <c r="L88" s="69">
        <f t="shared" ref="L88:L89" si="14">IF(J88="","",I88*J88)</f>
        <v>0</v>
      </c>
      <c r="M88" s="70"/>
      <c r="N88" s="71">
        <f t="shared" ref="N88:N89" si="15">IF(J88="","",TRUNC((L88*(1-M88)),-3))</f>
        <v>0</v>
      </c>
      <c r="O88" s="139"/>
      <c r="P88" s="32"/>
      <c r="Q88" s="32"/>
      <c r="R88" s="32"/>
      <c r="S88" s="97"/>
      <c r="T88" s="98"/>
      <c r="U88" s="29"/>
    </row>
    <row r="89" spans="1:21" s="46" customFormat="1" ht="44.25" customHeight="1" x14ac:dyDescent="0.3">
      <c r="B89" s="270"/>
      <c r="C89" s="268" t="s">
        <v>334</v>
      </c>
      <c r="D89" s="268"/>
      <c r="E89" s="268"/>
      <c r="F89" s="238" t="s">
        <v>458</v>
      </c>
      <c r="G89" s="239"/>
      <c r="H89" s="240"/>
      <c r="I89" s="118">
        <v>3000000</v>
      </c>
      <c r="J89" s="207">
        <v>0</v>
      </c>
      <c r="K89" s="68" t="s">
        <v>227</v>
      </c>
      <c r="L89" s="69">
        <f t="shared" si="14"/>
        <v>0</v>
      </c>
      <c r="M89" s="70"/>
      <c r="N89" s="71">
        <f t="shared" si="15"/>
        <v>0</v>
      </c>
      <c r="O89" s="139"/>
      <c r="P89" s="32"/>
      <c r="Q89" s="32"/>
      <c r="R89" s="32"/>
      <c r="S89" s="97"/>
      <c r="T89" s="98"/>
      <c r="U89" s="29"/>
    </row>
    <row r="90" spans="1:21" s="46" customFormat="1" ht="44.25" customHeight="1" x14ac:dyDescent="0.3">
      <c r="B90" s="279" t="s">
        <v>239</v>
      </c>
      <c r="C90" s="268" t="s">
        <v>335</v>
      </c>
      <c r="D90" s="268"/>
      <c r="E90" s="268"/>
      <c r="F90" s="238" t="s">
        <v>240</v>
      </c>
      <c r="G90" s="239"/>
      <c r="H90" s="240"/>
      <c r="I90" s="119" t="s">
        <v>425</v>
      </c>
      <c r="J90" s="207">
        <v>0</v>
      </c>
      <c r="K90" s="68" t="s">
        <v>227</v>
      </c>
      <c r="L90" s="127" t="s">
        <v>236</v>
      </c>
      <c r="M90" s="70"/>
      <c r="N90" s="128" t="s">
        <v>236</v>
      </c>
      <c r="O90" s="139"/>
      <c r="P90" s="32"/>
      <c r="Q90" s="32"/>
      <c r="R90" s="32"/>
      <c r="S90" s="97"/>
      <c r="T90" s="98"/>
      <c r="U90" s="29"/>
    </row>
    <row r="91" spans="1:21" s="46" customFormat="1" ht="44.25" customHeight="1" x14ac:dyDescent="0.3">
      <c r="B91" s="279"/>
      <c r="C91" s="268" t="s">
        <v>336</v>
      </c>
      <c r="D91" s="268"/>
      <c r="E91" s="268"/>
      <c r="F91" s="238" t="s">
        <v>337</v>
      </c>
      <c r="G91" s="239"/>
      <c r="H91" s="240"/>
      <c r="I91" s="118">
        <v>5000000</v>
      </c>
      <c r="J91" s="207">
        <v>0</v>
      </c>
      <c r="K91" s="68" t="s">
        <v>227</v>
      </c>
      <c r="L91" s="69">
        <f t="shared" ref="L91:L100" si="16">IF(J91="","",I91*J91)</f>
        <v>0</v>
      </c>
      <c r="M91" s="70"/>
      <c r="N91" s="71">
        <f t="shared" ref="N91:N100" si="17">IF(J91="","",TRUNC((L91*(1-M91)),-3))</f>
        <v>0</v>
      </c>
      <c r="O91" s="139"/>
      <c r="P91" s="32"/>
      <c r="Q91" s="32"/>
      <c r="R91" s="32"/>
      <c r="S91" s="97"/>
      <c r="T91" s="98"/>
      <c r="U91" s="29"/>
    </row>
    <row r="92" spans="1:21" s="46" customFormat="1" ht="63" customHeight="1" x14ac:dyDescent="0.3">
      <c r="B92" s="279"/>
      <c r="C92" s="268" t="s">
        <v>338</v>
      </c>
      <c r="D92" s="268"/>
      <c r="E92" s="268"/>
      <c r="F92" s="238" t="s">
        <v>339</v>
      </c>
      <c r="G92" s="239"/>
      <c r="H92" s="240"/>
      <c r="I92" s="118">
        <v>5000000</v>
      </c>
      <c r="J92" s="207">
        <v>0</v>
      </c>
      <c r="K92" s="68" t="s">
        <v>227</v>
      </c>
      <c r="L92" s="69">
        <f t="shared" si="16"/>
        <v>0</v>
      </c>
      <c r="M92" s="70"/>
      <c r="N92" s="71">
        <f t="shared" si="17"/>
        <v>0</v>
      </c>
      <c r="O92" s="139"/>
      <c r="P92" s="32"/>
      <c r="Q92" s="32"/>
      <c r="R92" s="32"/>
      <c r="S92" s="97"/>
      <c r="T92" s="98"/>
      <c r="U92" s="29"/>
    </row>
    <row r="93" spans="1:21" s="46" customFormat="1" ht="44.25" customHeight="1" x14ac:dyDescent="0.3">
      <c r="B93" s="279"/>
      <c r="C93" s="268" t="s">
        <v>340</v>
      </c>
      <c r="D93" s="268"/>
      <c r="E93" s="268"/>
      <c r="F93" s="238" t="s">
        <v>241</v>
      </c>
      <c r="G93" s="239"/>
      <c r="H93" s="240"/>
      <c r="I93" s="118">
        <v>3000000</v>
      </c>
      <c r="J93" s="207">
        <v>0</v>
      </c>
      <c r="K93" s="68" t="s">
        <v>227</v>
      </c>
      <c r="L93" s="69">
        <f t="shared" si="16"/>
        <v>0</v>
      </c>
      <c r="M93" s="70"/>
      <c r="N93" s="71">
        <f t="shared" si="17"/>
        <v>0</v>
      </c>
      <c r="O93" s="139"/>
      <c r="P93" s="32"/>
      <c r="Q93" s="32"/>
      <c r="R93" s="32"/>
      <c r="S93" s="97"/>
      <c r="T93" s="98"/>
      <c r="U93" s="29"/>
    </row>
    <row r="94" spans="1:21" s="46" customFormat="1" ht="44.25" customHeight="1" x14ac:dyDescent="0.3">
      <c r="B94" s="279"/>
      <c r="C94" s="268" t="s">
        <v>341</v>
      </c>
      <c r="D94" s="268"/>
      <c r="E94" s="268"/>
      <c r="F94" s="238" t="s">
        <v>482</v>
      </c>
      <c r="G94" s="239"/>
      <c r="H94" s="240"/>
      <c r="I94" s="118">
        <v>5000000</v>
      </c>
      <c r="J94" s="207">
        <v>0</v>
      </c>
      <c r="K94" s="68" t="s">
        <v>227</v>
      </c>
      <c r="L94" s="69">
        <f t="shared" si="16"/>
        <v>0</v>
      </c>
      <c r="M94" s="70"/>
      <c r="N94" s="71">
        <f t="shared" si="17"/>
        <v>0</v>
      </c>
      <c r="O94" s="139"/>
      <c r="P94" s="32"/>
      <c r="Q94" s="32"/>
      <c r="R94" s="32"/>
      <c r="S94" s="97"/>
      <c r="T94" s="98"/>
      <c r="U94" s="29"/>
    </row>
    <row r="95" spans="1:21" s="46" customFormat="1" ht="44.25" customHeight="1" x14ac:dyDescent="0.3">
      <c r="B95" s="279"/>
      <c r="C95" s="268" t="s">
        <v>242</v>
      </c>
      <c r="D95" s="268"/>
      <c r="E95" s="268"/>
      <c r="F95" s="238" t="s">
        <v>481</v>
      </c>
      <c r="G95" s="239"/>
      <c r="H95" s="240"/>
      <c r="I95" s="118">
        <v>3000000</v>
      </c>
      <c r="J95" s="207">
        <v>0</v>
      </c>
      <c r="K95" s="68" t="s">
        <v>227</v>
      </c>
      <c r="L95" s="69">
        <f t="shared" si="16"/>
        <v>0</v>
      </c>
      <c r="M95" s="70"/>
      <c r="N95" s="71">
        <f t="shared" si="17"/>
        <v>0</v>
      </c>
      <c r="O95" s="139"/>
      <c r="P95" s="32"/>
      <c r="Q95" s="32"/>
      <c r="R95" s="32"/>
      <c r="S95" s="97"/>
      <c r="T95" s="98"/>
      <c r="U95" s="29"/>
    </row>
    <row r="96" spans="1:21" s="46" customFormat="1" ht="44.25" customHeight="1" x14ac:dyDescent="0.3">
      <c r="B96" s="279"/>
      <c r="C96" s="268" t="s">
        <v>342</v>
      </c>
      <c r="D96" s="268"/>
      <c r="E96" s="268"/>
      <c r="F96" s="238" t="s">
        <v>479</v>
      </c>
      <c r="G96" s="239"/>
      <c r="H96" s="240"/>
      <c r="I96" s="118">
        <v>5000000</v>
      </c>
      <c r="J96" s="207">
        <v>0</v>
      </c>
      <c r="K96" s="68" t="s">
        <v>227</v>
      </c>
      <c r="L96" s="69">
        <f t="shared" si="16"/>
        <v>0</v>
      </c>
      <c r="M96" s="70"/>
      <c r="N96" s="71">
        <f t="shared" si="17"/>
        <v>0</v>
      </c>
      <c r="O96" s="139"/>
      <c r="P96" s="32"/>
      <c r="Q96" s="32"/>
      <c r="R96" s="32"/>
      <c r="S96" s="97"/>
      <c r="T96" s="98"/>
      <c r="U96" s="29"/>
    </row>
    <row r="97" spans="2:21" s="46" customFormat="1" ht="44.25" customHeight="1" x14ac:dyDescent="0.3">
      <c r="B97" s="279"/>
      <c r="C97" s="268" t="s">
        <v>343</v>
      </c>
      <c r="D97" s="268"/>
      <c r="E97" s="268"/>
      <c r="F97" s="238" t="s">
        <v>243</v>
      </c>
      <c r="G97" s="239"/>
      <c r="H97" s="240"/>
      <c r="I97" s="118">
        <v>5000000</v>
      </c>
      <c r="J97" s="207">
        <v>0</v>
      </c>
      <c r="K97" s="68" t="s">
        <v>227</v>
      </c>
      <c r="L97" s="69">
        <f t="shared" si="16"/>
        <v>0</v>
      </c>
      <c r="M97" s="70"/>
      <c r="N97" s="71">
        <f t="shared" si="17"/>
        <v>0</v>
      </c>
      <c r="O97" s="139"/>
      <c r="P97" s="32"/>
      <c r="Q97" s="32"/>
      <c r="R97" s="32"/>
      <c r="S97" s="97"/>
      <c r="T97" s="98"/>
      <c r="U97" s="29"/>
    </row>
    <row r="98" spans="2:21" s="46" customFormat="1" ht="44.25" customHeight="1" x14ac:dyDescent="0.3">
      <c r="B98" s="279"/>
      <c r="C98" s="268" t="s">
        <v>344</v>
      </c>
      <c r="D98" s="268"/>
      <c r="E98" s="268"/>
      <c r="F98" s="238" t="s">
        <v>443</v>
      </c>
      <c r="G98" s="239"/>
      <c r="H98" s="240"/>
      <c r="I98" s="118">
        <v>5000000</v>
      </c>
      <c r="J98" s="207">
        <v>0</v>
      </c>
      <c r="K98" s="68" t="s">
        <v>227</v>
      </c>
      <c r="L98" s="69">
        <f t="shared" si="16"/>
        <v>0</v>
      </c>
      <c r="M98" s="70"/>
      <c r="N98" s="71">
        <f t="shared" si="17"/>
        <v>0</v>
      </c>
      <c r="O98" s="139"/>
      <c r="P98" s="32"/>
      <c r="Q98" s="32"/>
      <c r="R98" s="32"/>
      <c r="S98" s="97"/>
      <c r="T98" s="99"/>
      <c r="U98" s="29"/>
    </row>
    <row r="99" spans="2:21" s="46" customFormat="1" ht="44.25" customHeight="1" x14ac:dyDescent="0.3">
      <c r="B99" s="279"/>
      <c r="C99" s="268" t="s">
        <v>345</v>
      </c>
      <c r="D99" s="268"/>
      <c r="E99" s="268"/>
      <c r="F99" s="238" t="s">
        <v>244</v>
      </c>
      <c r="G99" s="239"/>
      <c r="H99" s="240"/>
      <c r="I99" s="118">
        <v>3000000</v>
      </c>
      <c r="J99" s="207">
        <v>0</v>
      </c>
      <c r="K99" s="68" t="s">
        <v>227</v>
      </c>
      <c r="L99" s="69">
        <f t="shared" si="16"/>
        <v>0</v>
      </c>
      <c r="M99" s="70"/>
      <c r="N99" s="71">
        <f t="shared" si="17"/>
        <v>0</v>
      </c>
      <c r="O99" s="139"/>
      <c r="P99" s="32"/>
      <c r="Q99" s="32"/>
      <c r="R99" s="32"/>
      <c r="S99" s="97"/>
      <c r="T99" s="98"/>
      <c r="U99" s="29"/>
    </row>
    <row r="100" spans="2:21" s="46" customFormat="1" ht="44.25" customHeight="1" x14ac:dyDescent="0.3">
      <c r="B100" s="279"/>
      <c r="C100" s="268" t="s">
        <v>346</v>
      </c>
      <c r="D100" s="268"/>
      <c r="E100" s="268"/>
      <c r="F100" s="238" t="s">
        <v>480</v>
      </c>
      <c r="G100" s="239"/>
      <c r="H100" s="240"/>
      <c r="I100" s="118">
        <v>3000000</v>
      </c>
      <c r="J100" s="207">
        <v>0</v>
      </c>
      <c r="K100" s="68" t="s">
        <v>227</v>
      </c>
      <c r="L100" s="69">
        <f t="shared" si="16"/>
        <v>0</v>
      </c>
      <c r="M100" s="70"/>
      <c r="N100" s="71">
        <f t="shared" si="17"/>
        <v>0</v>
      </c>
      <c r="O100" s="139"/>
      <c r="P100" s="32"/>
      <c r="Q100" s="32"/>
      <c r="R100" s="32"/>
      <c r="S100" s="97"/>
      <c r="T100" s="98"/>
      <c r="U100" s="29"/>
    </row>
    <row r="101" spans="2:21" s="46" customFormat="1" ht="44.25" customHeight="1" x14ac:dyDescent="0.3">
      <c r="B101" s="269" t="s">
        <v>245</v>
      </c>
      <c r="C101" s="268" t="s">
        <v>347</v>
      </c>
      <c r="D101" s="268"/>
      <c r="E101" s="268"/>
      <c r="F101" s="238" t="s">
        <v>246</v>
      </c>
      <c r="G101" s="239"/>
      <c r="H101" s="240"/>
      <c r="I101" s="119" t="s">
        <v>236</v>
      </c>
      <c r="J101" s="207">
        <f>J104</f>
        <v>0</v>
      </c>
      <c r="K101" s="68" t="s">
        <v>227</v>
      </c>
      <c r="L101" s="127" t="s">
        <v>236</v>
      </c>
      <c r="M101" s="70"/>
      <c r="N101" s="128" t="s">
        <v>236</v>
      </c>
      <c r="O101" s="139"/>
      <c r="P101" s="32"/>
      <c r="Q101" s="32"/>
      <c r="R101" s="32"/>
      <c r="S101" s="97"/>
      <c r="T101" s="98"/>
      <c r="U101" s="29"/>
    </row>
    <row r="102" spans="2:21" s="46" customFormat="1" ht="44.25" customHeight="1" x14ac:dyDescent="0.3">
      <c r="B102" s="270"/>
      <c r="C102" s="268" t="s">
        <v>348</v>
      </c>
      <c r="D102" s="268"/>
      <c r="E102" s="268"/>
      <c r="F102" s="238" t="s">
        <v>478</v>
      </c>
      <c r="G102" s="239"/>
      <c r="H102" s="240"/>
      <c r="I102" s="118">
        <v>6000000</v>
      </c>
      <c r="J102" s="207">
        <v>0</v>
      </c>
      <c r="K102" s="68" t="s">
        <v>227</v>
      </c>
      <c r="L102" s="69">
        <f t="shared" ref="L102:L103" si="18">IF(J102="","",I102*J102)</f>
        <v>0</v>
      </c>
      <c r="M102" s="70"/>
      <c r="N102" s="71">
        <f t="shared" ref="N102:N104" si="19">IF(J102="","",TRUNC((L102*(1-M102)),-3))</f>
        <v>0</v>
      </c>
      <c r="O102" s="139"/>
      <c r="P102" s="32"/>
      <c r="Q102" s="32"/>
      <c r="R102" s="32"/>
      <c r="S102" s="97"/>
      <c r="T102" s="98"/>
      <c r="U102" s="29"/>
    </row>
    <row r="103" spans="2:21" s="46" customFormat="1" ht="44.25" customHeight="1" x14ac:dyDescent="0.3">
      <c r="B103" s="271"/>
      <c r="C103" s="235" t="s">
        <v>400</v>
      </c>
      <c r="D103" s="236"/>
      <c r="E103" s="237"/>
      <c r="F103" s="182" t="s">
        <v>401</v>
      </c>
      <c r="G103" s="183"/>
      <c r="H103" s="184"/>
      <c r="I103" s="118">
        <v>2000000</v>
      </c>
      <c r="J103" s="207">
        <v>0</v>
      </c>
      <c r="K103" s="68" t="s">
        <v>227</v>
      </c>
      <c r="L103" s="69">
        <f t="shared" si="18"/>
        <v>0</v>
      </c>
      <c r="M103" s="70"/>
      <c r="N103" s="71">
        <f t="shared" si="19"/>
        <v>0</v>
      </c>
      <c r="O103" s="185"/>
      <c r="P103" s="32"/>
      <c r="Q103" s="32"/>
      <c r="R103" s="32"/>
      <c r="S103" s="97"/>
      <c r="T103" s="98"/>
      <c r="U103" s="29"/>
    </row>
    <row r="104" spans="2:21" s="46" customFormat="1" ht="44.25" customHeight="1" x14ac:dyDescent="0.3">
      <c r="B104" s="229" t="s">
        <v>534</v>
      </c>
      <c r="C104" s="235" t="s">
        <v>535</v>
      </c>
      <c r="D104" s="236"/>
      <c r="E104" s="237"/>
      <c r="F104" s="238" t="s">
        <v>536</v>
      </c>
      <c r="G104" s="239"/>
      <c r="H104" s="240"/>
      <c r="I104" s="118">
        <v>4000000</v>
      </c>
      <c r="J104" s="207">
        <v>0</v>
      </c>
      <c r="K104" s="68" t="s">
        <v>227</v>
      </c>
      <c r="L104" s="69">
        <f t="shared" ref="L104" si="20">IF(J104="","",I104*J104)</f>
        <v>0</v>
      </c>
      <c r="M104" s="70"/>
      <c r="N104" s="71">
        <f t="shared" si="19"/>
        <v>0</v>
      </c>
      <c r="O104" s="421" t="s">
        <v>615</v>
      </c>
      <c r="P104" s="32"/>
      <c r="Q104" s="32"/>
      <c r="R104" s="32"/>
      <c r="S104" s="97"/>
      <c r="T104" s="98"/>
      <c r="U104" s="29"/>
    </row>
    <row r="105" spans="2:21" s="46" customFormat="1" ht="44.25" customHeight="1" x14ac:dyDescent="0.3">
      <c r="B105" s="279" t="s">
        <v>247</v>
      </c>
      <c r="C105" s="268" t="s">
        <v>349</v>
      </c>
      <c r="D105" s="268"/>
      <c r="E105" s="268"/>
      <c r="F105" s="238" t="s">
        <v>248</v>
      </c>
      <c r="G105" s="239"/>
      <c r="H105" s="240"/>
      <c r="I105" s="119" t="s">
        <v>426</v>
      </c>
      <c r="J105" s="207">
        <v>0</v>
      </c>
      <c r="K105" s="68" t="s">
        <v>227</v>
      </c>
      <c r="L105" s="127" t="s">
        <v>236</v>
      </c>
      <c r="M105" s="70"/>
      <c r="N105" s="128" t="s">
        <v>236</v>
      </c>
      <c r="O105" s="139"/>
      <c r="P105" s="32"/>
      <c r="Q105" s="32"/>
      <c r="R105" s="32"/>
      <c r="S105" s="97"/>
      <c r="T105" s="98"/>
      <c r="U105" s="29"/>
    </row>
    <row r="106" spans="2:21" s="46" customFormat="1" ht="44.25" customHeight="1" x14ac:dyDescent="0.3">
      <c r="B106" s="279"/>
      <c r="C106" s="268" t="s">
        <v>350</v>
      </c>
      <c r="D106" s="268"/>
      <c r="E106" s="268"/>
      <c r="F106" s="238" t="s">
        <v>249</v>
      </c>
      <c r="G106" s="239"/>
      <c r="H106" s="240"/>
      <c r="I106" s="118">
        <v>5000000</v>
      </c>
      <c r="J106" s="207">
        <v>0</v>
      </c>
      <c r="K106" s="68" t="s">
        <v>227</v>
      </c>
      <c r="L106" s="69">
        <f t="shared" ref="L106:L108" si="21">IF(J106="","",I106*J106)</f>
        <v>0</v>
      </c>
      <c r="M106" s="70"/>
      <c r="N106" s="71">
        <f t="shared" ref="N106:N108" si="22">IF(J106="","",TRUNC((L106*(1-M106)),-3))</f>
        <v>0</v>
      </c>
      <c r="O106" s="139"/>
      <c r="P106" s="32"/>
      <c r="Q106" s="32"/>
      <c r="R106" s="32"/>
      <c r="S106" s="97"/>
      <c r="T106" s="98"/>
      <c r="U106" s="29"/>
    </row>
    <row r="107" spans="2:21" s="46" customFormat="1" ht="44.25" customHeight="1" x14ac:dyDescent="0.3">
      <c r="B107" s="279"/>
      <c r="C107" s="268" t="s">
        <v>351</v>
      </c>
      <c r="D107" s="268"/>
      <c r="E107" s="268"/>
      <c r="F107" s="238" t="s">
        <v>250</v>
      </c>
      <c r="G107" s="239"/>
      <c r="H107" s="240"/>
      <c r="I107" s="118">
        <v>5000000</v>
      </c>
      <c r="J107" s="207">
        <v>0</v>
      </c>
      <c r="K107" s="68" t="s">
        <v>227</v>
      </c>
      <c r="L107" s="69">
        <f t="shared" si="21"/>
        <v>0</v>
      </c>
      <c r="M107" s="70"/>
      <c r="N107" s="71">
        <f t="shared" si="22"/>
        <v>0</v>
      </c>
      <c r="O107" s="139"/>
      <c r="P107" s="32"/>
      <c r="Q107" s="32"/>
      <c r="R107" s="32"/>
      <c r="S107" s="97"/>
      <c r="T107" s="98"/>
      <c r="U107" s="29"/>
    </row>
    <row r="108" spans="2:21" s="46" customFormat="1" ht="44.25" customHeight="1" x14ac:dyDescent="0.3">
      <c r="B108" s="279"/>
      <c r="C108" s="268" t="s">
        <v>352</v>
      </c>
      <c r="D108" s="268"/>
      <c r="E108" s="268"/>
      <c r="F108" s="238" t="s">
        <v>251</v>
      </c>
      <c r="G108" s="239"/>
      <c r="H108" s="240"/>
      <c r="I108" s="118">
        <v>5000000</v>
      </c>
      <c r="J108" s="207">
        <v>0</v>
      </c>
      <c r="K108" s="68" t="s">
        <v>227</v>
      </c>
      <c r="L108" s="69">
        <f t="shared" si="21"/>
        <v>0</v>
      </c>
      <c r="M108" s="70"/>
      <c r="N108" s="71">
        <f t="shared" si="22"/>
        <v>0</v>
      </c>
      <c r="O108" s="139"/>
      <c r="P108" s="32"/>
      <c r="Q108" s="32"/>
      <c r="R108" s="32"/>
      <c r="S108" s="97"/>
      <c r="T108" s="98"/>
      <c r="U108" s="29"/>
    </row>
    <row r="109" spans="2:21" s="46" customFormat="1" ht="44.25" customHeight="1" x14ac:dyDescent="0.3">
      <c r="B109" s="273" t="s">
        <v>420</v>
      </c>
      <c r="C109" s="274"/>
      <c r="D109" s="274"/>
      <c r="E109" s="274"/>
      <c r="F109" s="274"/>
      <c r="G109" s="274"/>
      <c r="H109" s="274"/>
      <c r="I109" s="274"/>
      <c r="J109" s="274"/>
      <c r="K109" s="275"/>
      <c r="L109" s="123">
        <f>SUM(L67:L108)</f>
        <v>0</v>
      </c>
      <c r="M109" s="121">
        <f>IFERROR(1-(N109/L109),0)</f>
        <v>0</v>
      </c>
      <c r="N109" s="123">
        <f>SUM(N68:N108)</f>
        <v>0</v>
      </c>
      <c r="O109" s="124"/>
      <c r="P109" s="32"/>
      <c r="Q109" s="32"/>
      <c r="R109" s="32"/>
      <c r="S109" s="97"/>
      <c r="T109" s="98"/>
      <c r="U109" s="29"/>
    </row>
    <row r="110" spans="2:21" s="46" customFormat="1" ht="44.25" customHeight="1" x14ac:dyDescent="0.3">
      <c r="B110" s="255" t="s">
        <v>419</v>
      </c>
      <c r="C110" s="256"/>
      <c r="D110" s="256"/>
      <c r="E110" s="256"/>
      <c r="F110" s="256"/>
      <c r="G110" s="256"/>
      <c r="H110" s="256"/>
      <c r="I110" s="256"/>
      <c r="J110" s="256"/>
      <c r="K110" s="257"/>
      <c r="L110" s="76">
        <f>L109+L63</f>
        <v>0</v>
      </c>
      <c r="M110" s="77">
        <f>IFERROR(1-(N110/L110),0)</f>
        <v>0</v>
      </c>
      <c r="N110" s="74">
        <f>N109+N63</f>
        <v>0</v>
      </c>
      <c r="O110" s="113"/>
      <c r="P110" s="32"/>
      <c r="Q110" s="32"/>
      <c r="R110" s="32"/>
      <c r="S110" s="29"/>
      <c r="T110" s="29"/>
      <c r="U110" s="29"/>
    </row>
    <row r="111" spans="2:21" s="32" customFormat="1" ht="21.75" customHeight="1" x14ac:dyDescent="0.3">
      <c r="B111" s="49"/>
      <c r="C111" s="49"/>
      <c r="D111" s="49"/>
      <c r="E111" s="49"/>
      <c r="F111" s="49"/>
      <c r="G111" s="49"/>
      <c r="H111" s="49"/>
      <c r="I111" s="49"/>
      <c r="J111" s="49"/>
      <c r="K111" s="50"/>
      <c r="L111" s="51"/>
      <c r="M111" s="52"/>
      <c r="N111" s="51"/>
      <c r="O111" s="53"/>
      <c r="S111" s="34"/>
      <c r="T111" s="34"/>
      <c r="U111" s="34"/>
    </row>
    <row r="112" spans="2:21" s="13" customFormat="1" ht="36" customHeight="1" thickBot="1" x14ac:dyDescent="0.5">
      <c r="B112" s="33" t="s">
        <v>515</v>
      </c>
      <c r="C112" s="32"/>
      <c r="D112" s="32"/>
      <c r="E112" s="32"/>
      <c r="F112" s="32"/>
      <c r="G112" s="32"/>
      <c r="H112" s="32"/>
      <c r="I112" s="32"/>
      <c r="J112" s="34"/>
      <c r="K112" s="34"/>
      <c r="L112" s="32"/>
      <c r="M112" s="34"/>
      <c r="N112" s="32"/>
      <c r="O112" s="35" t="s">
        <v>54</v>
      </c>
      <c r="P112" s="32"/>
      <c r="Q112" s="32"/>
      <c r="R112" s="32"/>
      <c r="S112" s="29"/>
      <c r="T112" s="29"/>
      <c r="U112" s="29"/>
    </row>
    <row r="113" spans="1:21" s="13" customFormat="1" ht="44.25" customHeight="1" thickBot="1" x14ac:dyDescent="0.35">
      <c r="B113" s="72" t="s">
        <v>197</v>
      </c>
      <c r="C113" s="329" t="s">
        <v>46</v>
      </c>
      <c r="D113" s="330"/>
      <c r="E113" s="331"/>
      <c r="F113" s="72" t="s">
        <v>16</v>
      </c>
      <c r="G113" s="72"/>
      <c r="H113" s="72"/>
      <c r="I113" s="73" t="s">
        <v>47</v>
      </c>
      <c r="J113" s="73" t="s">
        <v>55</v>
      </c>
      <c r="K113" s="73" t="s">
        <v>48</v>
      </c>
      <c r="L113" s="73" t="s">
        <v>49</v>
      </c>
      <c r="M113" s="73" t="s">
        <v>50</v>
      </c>
      <c r="N113" s="73" t="s">
        <v>51</v>
      </c>
      <c r="O113" s="73" t="s">
        <v>52</v>
      </c>
      <c r="P113" s="32"/>
      <c r="Q113" s="32"/>
      <c r="R113" s="32"/>
      <c r="S113" s="93" t="s">
        <v>194</v>
      </c>
      <c r="T113" s="94" t="s">
        <v>195</v>
      </c>
      <c r="U113" s="29"/>
    </row>
    <row r="114" spans="1:21" s="13" customFormat="1" ht="39" customHeight="1" x14ac:dyDescent="0.3">
      <c r="B114" s="291" t="s">
        <v>259</v>
      </c>
      <c r="C114" s="293" t="s">
        <v>299</v>
      </c>
      <c r="D114" s="268"/>
      <c r="E114" s="268"/>
      <c r="F114" s="272"/>
      <c r="G114" s="272"/>
      <c r="H114" s="272"/>
      <c r="I114" s="119">
        <v>0</v>
      </c>
      <c r="J114" s="207">
        <v>0</v>
      </c>
      <c r="K114" s="68" t="s">
        <v>56</v>
      </c>
      <c r="L114" s="69">
        <f>IF(J114="","",I114*J114)</f>
        <v>0</v>
      </c>
      <c r="M114" s="70"/>
      <c r="N114" s="71">
        <f t="shared" ref="N114" si="23">IF(J114="","",TRUNC((L114*(1-M114)),-3))</f>
        <v>0</v>
      </c>
      <c r="O114" s="38"/>
      <c r="P114" s="32"/>
      <c r="Q114" s="32"/>
      <c r="R114" s="45"/>
      <c r="S114" s="102"/>
      <c r="T114" s="103"/>
      <c r="U114" s="29"/>
    </row>
    <row r="115" spans="1:21" s="46" customFormat="1" ht="39" customHeight="1" x14ac:dyDescent="0.3">
      <c r="B115" s="292"/>
      <c r="C115" s="293" t="s">
        <v>299</v>
      </c>
      <c r="D115" s="268"/>
      <c r="E115" s="268"/>
      <c r="F115" s="272"/>
      <c r="G115" s="272"/>
      <c r="H115" s="272"/>
      <c r="I115" s="119">
        <v>0</v>
      </c>
      <c r="J115" s="207">
        <v>0</v>
      </c>
      <c r="K115" s="68" t="s">
        <v>56</v>
      </c>
      <c r="L115" s="69">
        <f t="shared" ref="L115:L116" si="24">IF(J115="","",I115*J115)</f>
        <v>0</v>
      </c>
      <c r="M115" s="70"/>
      <c r="N115" s="71">
        <f t="shared" ref="N115" si="25">IF(J115="","",TRUNC((L115*(1-M115)),-3))</f>
        <v>0</v>
      </c>
      <c r="O115" s="38"/>
      <c r="P115" s="32"/>
      <c r="Q115" s="32"/>
      <c r="R115" s="45"/>
      <c r="S115" s="129"/>
      <c r="T115" s="130"/>
      <c r="U115" s="29"/>
    </row>
    <row r="116" spans="1:21" s="13" customFormat="1" ht="39" customHeight="1" thickBot="1" x14ac:dyDescent="0.35">
      <c r="B116" s="116" t="s">
        <v>168</v>
      </c>
      <c r="C116" s="268" t="s">
        <v>614</v>
      </c>
      <c r="D116" s="268"/>
      <c r="E116" s="268"/>
      <c r="F116" s="276" t="s">
        <v>252</v>
      </c>
      <c r="G116" s="277"/>
      <c r="H116" s="278"/>
      <c r="I116" s="118">
        <v>1000000</v>
      </c>
      <c r="J116" s="207">
        <v>0</v>
      </c>
      <c r="K116" s="68" t="s">
        <v>57</v>
      </c>
      <c r="L116" s="69">
        <f t="shared" si="24"/>
        <v>0</v>
      </c>
      <c r="M116" s="70"/>
      <c r="N116" s="71">
        <f>IF(J116="","",TRUNC((L116*(1-M116)),-3))</f>
        <v>0</v>
      </c>
      <c r="O116" s="37"/>
      <c r="P116" s="32"/>
      <c r="Q116" s="32"/>
      <c r="R116" s="45"/>
      <c r="S116" s="106"/>
      <c r="T116" s="104"/>
      <c r="U116" s="29"/>
    </row>
    <row r="117" spans="1:21" s="13" customFormat="1" ht="44.25" customHeight="1" x14ac:dyDescent="0.3">
      <c r="B117" s="255" t="s">
        <v>421</v>
      </c>
      <c r="C117" s="256"/>
      <c r="D117" s="256"/>
      <c r="E117" s="256"/>
      <c r="F117" s="256"/>
      <c r="G117" s="256"/>
      <c r="H117" s="256"/>
      <c r="I117" s="256"/>
      <c r="J117" s="256"/>
      <c r="K117" s="257"/>
      <c r="L117" s="76">
        <f>SUM(L114:L116)</f>
        <v>0</v>
      </c>
      <c r="M117" s="77">
        <f>IFERROR(1-(N117/L117),0)</f>
        <v>0</v>
      </c>
      <c r="N117" s="74">
        <f>SUM(N114:N116)</f>
        <v>0</v>
      </c>
      <c r="O117" s="113"/>
      <c r="P117" s="32"/>
      <c r="Q117" s="32"/>
      <c r="R117" s="32"/>
      <c r="S117" s="29"/>
      <c r="T117" s="29"/>
      <c r="U117" s="29"/>
    </row>
    <row r="118" spans="1:21" s="54" customFormat="1" ht="23.25" customHeight="1" x14ac:dyDescent="0.3"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6"/>
      <c r="M118" s="57"/>
      <c r="N118" s="58"/>
      <c r="O118" s="59"/>
      <c r="P118" s="60"/>
      <c r="Q118" s="60"/>
      <c r="S118" s="61"/>
      <c r="T118" s="61"/>
      <c r="U118" s="61"/>
    </row>
    <row r="119" spans="1:21" s="32" customFormat="1" ht="39.75" customHeight="1" thickBot="1" x14ac:dyDescent="0.5">
      <c r="B119" s="33" t="s">
        <v>201</v>
      </c>
      <c r="J119" s="34"/>
      <c r="K119" s="34"/>
      <c r="M119" s="34"/>
      <c r="O119" s="35" t="s">
        <v>8</v>
      </c>
      <c r="S119" s="34"/>
      <c r="T119" s="34"/>
      <c r="U119" s="34"/>
    </row>
    <row r="120" spans="1:21" s="2" customFormat="1" ht="46.5" customHeight="1" thickBot="1" x14ac:dyDescent="0.35">
      <c r="B120" s="72" t="s">
        <v>116</v>
      </c>
      <c r="C120" s="329" t="s">
        <v>1</v>
      </c>
      <c r="D120" s="330"/>
      <c r="E120" s="331"/>
      <c r="F120" s="72" t="s">
        <v>16</v>
      </c>
      <c r="G120" s="72"/>
      <c r="H120" s="72"/>
      <c r="I120" s="73" t="s">
        <v>17</v>
      </c>
      <c r="J120" s="73" t="s">
        <v>2</v>
      </c>
      <c r="K120" s="73" t="s">
        <v>18</v>
      </c>
      <c r="L120" s="73" t="s">
        <v>19</v>
      </c>
      <c r="M120" s="73" t="s">
        <v>29</v>
      </c>
      <c r="N120" s="73" t="s">
        <v>28</v>
      </c>
      <c r="O120" s="90" t="s">
        <v>20</v>
      </c>
      <c r="S120" s="93" t="s">
        <v>194</v>
      </c>
      <c r="T120" s="94" t="s">
        <v>195</v>
      </c>
      <c r="U120" s="36"/>
    </row>
    <row r="121" spans="1:21" s="13" customFormat="1" ht="46.5" customHeight="1" x14ac:dyDescent="0.3">
      <c r="A121" s="39"/>
      <c r="B121" s="332" t="s">
        <v>103</v>
      </c>
      <c r="C121" s="235" t="s">
        <v>222</v>
      </c>
      <c r="D121" s="236"/>
      <c r="E121" s="237"/>
      <c r="F121" s="260" t="s">
        <v>486</v>
      </c>
      <c r="G121" s="261"/>
      <c r="H121" s="262"/>
      <c r="I121" s="118">
        <v>50000</v>
      </c>
      <c r="J121" s="207">
        <v>0</v>
      </c>
      <c r="K121" s="68" t="s">
        <v>3</v>
      </c>
      <c r="L121" s="69">
        <f>IF(J121="","",I121*J121)</f>
        <v>0</v>
      </c>
      <c r="M121" s="75"/>
      <c r="N121" s="71">
        <f t="shared" ref="N121:N123" si="26">IF(J121="","",TRUNC((L121*(1-M121)),-3))</f>
        <v>0</v>
      </c>
      <c r="O121" s="111"/>
      <c r="P121" s="12"/>
      <c r="Q121" s="12"/>
      <c r="S121" s="95"/>
      <c r="T121" s="96" t="s">
        <v>200</v>
      </c>
      <c r="U121" s="29"/>
    </row>
    <row r="122" spans="1:21" s="46" customFormat="1" ht="59.25" customHeight="1" x14ac:dyDescent="0.3">
      <c r="A122" s="39"/>
      <c r="B122" s="333"/>
      <c r="C122" s="235" t="s">
        <v>223</v>
      </c>
      <c r="D122" s="236"/>
      <c r="E122" s="237"/>
      <c r="F122" s="260" t="s">
        <v>487</v>
      </c>
      <c r="G122" s="261"/>
      <c r="H122" s="262"/>
      <c r="I122" s="118">
        <v>13000</v>
      </c>
      <c r="J122" s="207">
        <v>0</v>
      </c>
      <c r="K122" s="68" t="s">
        <v>3</v>
      </c>
      <c r="L122" s="69">
        <f t="shared" ref="L122:L123" si="27">IF(J122="","",I122*J122)</f>
        <v>0</v>
      </c>
      <c r="M122" s="75"/>
      <c r="N122" s="71">
        <f t="shared" si="26"/>
        <v>0</v>
      </c>
      <c r="O122" s="111"/>
      <c r="P122" s="12"/>
      <c r="Q122" s="12"/>
      <c r="S122" s="97"/>
      <c r="T122" s="99" t="s">
        <v>170</v>
      </c>
      <c r="U122" s="29"/>
    </row>
    <row r="123" spans="1:21" s="46" customFormat="1" ht="45" customHeight="1" x14ac:dyDescent="0.3">
      <c r="A123" s="39"/>
      <c r="B123" s="333"/>
      <c r="C123" s="235" t="s">
        <v>224</v>
      </c>
      <c r="D123" s="236"/>
      <c r="E123" s="237"/>
      <c r="F123" s="260" t="s">
        <v>124</v>
      </c>
      <c r="G123" s="261"/>
      <c r="H123" s="262"/>
      <c r="I123" s="118">
        <v>2000</v>
      </c>
      <c r="J123" s="207">
        <v>0</v>
      </c>
      <c r="K123" s="68" t="s">
        <v>3</v>
      </c>
      <c r="L123" s="69">
        <f t="shared" si="27"/>
        <v>0</v>
      </c>
      <c r="M123" s="75"/>
      <c r="N123" s="71">
        <f t="shared" si="26"/>
        <v>0</v>
      </c>
      <c r="O123" s="111"/>
      <c r="P123" s="12"/>
      <c r="Q123" s="12"/>
      <c r="S123" s="97"/>
      <c r="T123" s="109"/>
      <c r="U123" s="29"/>
    </row>
    <row r="124" spans="1:21" s="46" customFormat="1" ht="41.25" customHeight="1" x14ac:dyDescent="0.3">
      <c r="A124" s="39"/>
      <c r="B124" s="333"/>
      <c r="C124" s="235" t="s">
        <v>25</v>
      </c>
      <c r="D124" s="236"/>
      <c r="E124" s="237"/>
      <c r="F124" s="276" t="s">
        <v>115</v>
      </c>
      <c r="G124" s="277"/>
      <c r="H124" s="278"/>
      <c r="I124" s="118">
        <v>30000</v>
      </c>
      <c r="J124" s="208">
        <v>0</v>
      </c>
      <c r="K124" s="204" t="s">
        <v>467</v>
      </c>
      <c r="L124" s="205">
        <f t="shared" ref="L124:L138" si="28">IF(J124="","",I124*J124)</f>
        <v>0</v>
      </c>
      <c r="M124" s="75"/>
      <c r="N124" s="71">
        <f>IF(J124="","",TRUNC((L124*(1-M124)),-1))</f>
        <v>0</v>
      </c>
      <c r="O124" s="38" t="s">
        <v>468</v>
      </c>
      <c r="P124" s="12"/>
      <c r="Q124" s="12"/>
      <c r="S124" s="97"/>
      <c r="T124" s="109"/>
      <c r="U124" s="29"/>
    </row>
    <row r="125" spans="1:21" s="46" customFormat="1" ht="58.5" x14ac:dyDescent="0.3">
      <c r="A125" s="39"/>
      <c r="B125" s="333"/>
      <c r="C125" s="235" t="s">
        <v>315</v>
      </c>
      <c r="D125" s="236"/>
      <c r="E125" s="237"/>
      <c r="F125" s="243" t="s">
        <v>316</v>
      </c>
      <c r="G125" s="244"/>
      <c r="H125" s="245"/>
      <c r="I125" s="118">
        <v>3000</v>
      </c>
      <c r="J125" s="208">
        <v>0</v>
      </c>
      <c r="K125" s="204" t="s">
        <v>463</v>
      </c>
      <c r="L125" s="205">
        <f t="shared" si="28"/>
        <v>0</v>
      </c>
      <c r="M125" s="70"/>
      <c r="N125" s="71">
        <f t="shared" ref="N125" si="29">IF(J125="","",TRUNC((L125*(1-M125)),-3))</f>
        <v>0</v>
      </c>
      <c r="O125" s="38" t="s">
        <v>469</v>
      </c>
      <c r="P125" s="12"/>
      <c r="Q125" s="12"/>
      <c r="S125" s="97"/>
      <c r="T125" s="109"/>
      <c r="U125" s="29"/>
    </row>
    <row r="126" spans="1:21" s="46" customFormat="1" ht="41.25" customHeight="1" x14ac:dyDescent="0.3">
      <c r="A126" s="39"/>
      <c r="B126" s="333"/>
      <c r="C126" s="235" t="s">
        <v>30</v>
      </c>
      <c r="D126" s="237"/>
      <c r="E126" s="92" t="s">
        <v>21</v>
      </c>
      <c r="F126" s="272" t="s">
        <v>120</v>
      </c>
      <c r="G126" s="272"/>
      <c r="H126" s="272"/>
      <c r="I126" s="118">
        <v>8000</v>
      </c>
      <c r="J126" s="207">
        <v>0</v>
      </c>
      <c r="K126" s="68" t="s">
        <v>3</v>
      </c>
      <c r="L126" s="69">
        <f t="shared" si="28"/>
        <v>0</v>
      </c>
      <c r="M126" s="75"/>
      <c r="N126" s="71">
        <f>IF(J126="","",TRUNC((L126*(1-M126)),-1))</f>
        <v>0</v>
      </c>
      <c r="O126" s="112" t="s">
        <v>121</v>
      </c>
      <c r="P126" s="12"/>
      <c r="Q126" s="12"/>
      <c r="S126" s="97"/>
      <c r="T126" s="109"/>
      <c r="U126" s="29"/>
    </row>
    <row r="127" spans="1:21" s="46" customFormat="1" ht="68.25" customHeight="1" x14ac:dyDescent="0.3">
      <c r="A127" s="39"/>
      <c r="B127" s="333"/>
      <c r="C127" s="246" t="s">
        <v>9</v>
      </c>
      <c r="D127" s="352"/>
      <c r="E127" s="247"/>
      <c r="F127" s="276" t="s">
        <v>528</v>
      </c>
      <c r="G127" s="277"/>
      <c r="H127" s="278"/>
      <c r="I127" s="118">
        <v>30000</v>
      </c>
      <c r="J127" s="207">
        <v>0</v>
      </c>
      <c r="K127" s="68" t="s">
        <v>206</v>
      </c>
      <c r="L127" s="69">
        <f t="shared" si="28"/>
        <v>0</v>
      </c>
      <c r="M127" s="75"/>
      <c r="N127" s="71">
        <f t="shared" ref="N127:N138" si="30">IF(J127="","",TRUNC((L127*(1-M127)),-1))</f>
        <v>0</v>
      </c>
      <c r="O127" s="355" t="s">
        <v>457</v>
      </c>
      <c r="P127" s="12"/>
      <c r="Q127" s="12"/>
      <c r="S127" s="97"/>
      <c r="T127" s="109"/>
      <c r="U127" s="29"/>
    </row>
    <row r="128" spans="1:21" s="46" customFormat="1" ht="68.25" customHeight="1" x14ac:dyDescent="0.3">
      <c r="A128" s="39"/>
      <c r="B128" s="333"/>
      <c r="C128" s="248"/>
      <c r="D128" s="353"/>
      <c r="E128" s="249"/>
      <c r="F128" s="276" t="s">
        <v>529</v>
      </c>
      <c r="G128" s="277"/>
      <c r="H128" s="278"/>
      <c r="I128" s="118">
        <v>60000</v>
      </c>
      <c r="J128" s="207">
        <v>0</v>
      </c>
      <c r="K128" s="68" t="s">
        <v>206</v>
      </c>
      <c r="L128" s="69">
        <f t="shared" si="28"/>
        <v>0</v>
      </c>
      <c r="M128" s="75"/>
      <c r="N128" s="71">
        <f t="shared" si="30"/>
        <v>0</v>
      </c>
      <c r="O128" s="356"/>
      <c r="P128" s="12"/>
      <c r="Q128" s="12"/>
      <c r="S128" s="131"/>
      <c r="T128" s="110"/>
      <c r="U128" s="29"/>
    </row>
    <row r="129" spans="1:21" s="46" customFormat="1" ht="68.25" customHeight="1" x14ac:dyDescent="0.3">
      <c r="A129" s="39"/>
      <c r="B129" s="333"/>
      <c r="C129" s="248"/>
      <c r="D129" s="353"/>
      <c r="E129" s="249"/>
      <c r="F129" s="276" t="s">
        <v>530</v>
      </c>
      <c r="G129" s="277"/>
      <c r="H129" s="278"/>
      <c r="I129" s="118">
        <v>120000</v>
      </c>
      <c r="J129" s="207">
        <v>0</v>
      </c>
      <c r="K129" s="68" t="s">
        <v>206</v>
      </c>
      <c r="L129" s="69">
        <f t="shared" si="28"/>
        <v>0</v>
      </c>
      <c r="M129" s="75"/>
      <c r="N129" s="71">
        <f t="shared" si="30"/>
        <v>0</v>
      </c>
      <c r="O129" s="356"/>
      <c r="P129" s="12"/>
      <c r="Q129" s="12"/>
      <c r="S129" s="131"/>
      <c r="T129" s="110"/>
      <c r="U129" s="29"/>
    </row>
    <row r="130" spans="1:21" s="46" customFormat="1" ht="68.25" customHeight="1" x14ac:dyDescent="0.3">
      <c r="A130" s="39"/>
      <c r="B130" s="333"/>
      <c r="C130" s="248"/>
      <c r="D130" s="353"/>
      <c r="E130" s="249"/>
      <c r="F130" s="276" t="s">
        <v>531</v>
      </c>
      <c r="G130" s="277"/>
      <c r="H130" s="278"/>
      <c r="I130" s="118">
        <v>180000</v>
      </c>
      <c r="J130" s="207">
        <v>0</v>
      </c>
      <c r="K130" s="68" t="s">
        <v>206</v>
      </c>
      <c r="L130" s="69">
        <f t="shared" si="28"/>
        <v>0</v>
      </c>
      <c r="M130" s="75"/>
      <c r="N130" s="71">
        <f t="shared" si="30"/>
        <v>0</v>
      </c>
      <c r="O130" s="356"/>
      <c r="P130" s="12"/>
      <c r="Q130" s="12"/>
      <c r="S130" s="131"/>
      <c r="T130" s="110"/>
      <c r="U130" s="29"/>
    </row>
    <row r="131" spans="1:21" s="46" customFormat="1" ht="68.25" customHeight="1" x14ac:dyDescent="0.3">
      <c r="A131" s="39"/>
      <c r="B131" s="333"/>
      <c r="C131" s="289"/>
      <c r="D131" s="354"/>
      <c r="E131" s="290"/>
      <c r="F131" s="276" t="s">
        <v>532</v>
      </c>
      <c r="G131" s="277"/>
      <c r="H131" s="278"/>
      <c r="I131" s="118">
        <v>300000</v>
      </c>
      <c r="J131" s="207">
        <v>0</v>
      </c>
      <c r="K131" s="68" t="s">
        <v>206</v>
      </c>
      <c r="L131" s="69">
        <f t="shared" si="28"/>
        <v>0</v>
      </c>
      <c r="M131" s="75"/>
      <c r="N131" s="71">
        <f t="shared" si="30"/>
        <v>0</v>
      </c>
      <c r="O131" s="357"/>
      <c r="P131" s="12"/>
      <c r="Q131" s="12"/>
      <c r="S131" s="131"/>
      <c r="T131" s="110"/>
      <c r="U131" s="29"/>
    </row>
    <row r="132" spans="1:21" s="46" customFormat="1" ht="68.25" customHeight="1" x14ac:dyDescent="0.3">
      <c r="A132" s="39"/>
      <c r="B132" s="333"/>
      <c r="C132" s="235" t="s">
        <v>403</v>
      </c>
      <c r="D132" s="236"/>
      <c r="E132" s="237"/>
      <c r="F132" s="238" t="s">
        <v>404</v>
      </c>
      <c r="G132" s="239"/>
      <c r="H132" s="240"/>
      <c r="I132" s="119" t="s">
        <v>236</v>
      </c>
      <c r="J132" s="207">
        <v>0</v>
      </c>
      <c r="K132" s="68" t="s">
        <v>227</v>
      </c>
      <c r="L132" s="127" t="s">
        <v>236</v>
      </c>
      <c r="M132" s="70"/>
      <c r="N132" s="128" t="s">
        <v>236</v>
      </c>
      <c r="O132" s="220" t="s">
        <v>504</v>
      </c>
      <c r="P132" s="12"/>
      <c r="Q132" s="12"/>
      <c r="S132" s="131"/>
      <c r="T132" s="110"/>
      <c r="U132" s="29"/>
    </row>
    <row r="133" spans="1:21" s="46" customFormat="1" ht="54" customHeight="1" x14ac:dyDescent="0.3">
      <c r="A133" s="39"/>
      <c r="B133" s="333"/>
      <c r="C133" s="246" t="s">
        <v>140</v>
      </c>
      <c r="D133" s="352"/>
      <c r="E133" s="247"/>
      <c r="F133" s="276" t="s">
        <v>205</v>
      </c>
      <c r="G133" s="277"/>
      <c r="H133" s="278"/>
      <c r="I133" s="118">
        <f>IF(F133="","",VLOOKUP(F133,마케팅!E16:F21,2,0))</f>
        <v>7500</v>
      </c>
      <c r="J133" s="207">
        <v>0</v>
      </c>
      <c r="K133" s="68" t="s">
        <v>206</v>
      </c>
      <c r="L133" s="69">
        <f t="shared" si="28"/>
        <v>0</v>
      </c>
      <c r="M133" s="75"/>
      <c r="N133" s="71">
        <f t="shared" si="30"/>
        <v>0</v>
      </c>
      <c r="O133" s="361" t="s">
        <v>533</v>
      </c>
      <c r="P133" s="12"/>
      <c r="Q133" s="12"/>
      <c r="R133" s="45"/>
      <c r="S133" s="108" t="s">
        <v>196</v>
      </c>
      <c r="T133" s="110"/>
      <c r="U133" s="29"/>
    </row>
    <row r="134" spans="1:21" s="46" customFormat="1" ht="54" customHeight="1" x14ac:dyDescent="0.3">
      <c r="A134" s="39"/>
      <c r="B134" s="333"/>
      <c r="C134" s="248"/>
      <c r="D134" s="353"/>
      <c r="E134" s="249"/>
      <c r="F134" s="276" t="s">
        <v>217</v>
      </c>
      <c r="G134" s="277"/>
      <c r="H134" s="278"/>
      <c r="I134" s="118">
        <f>IF(F134="","",VLOOKUP(F134,마케팅!E17:F22,2,0))</f>
        <v>12500</v>
      </c>
      <c r="J134" s="207">
        <v>0</v>
      </c>
      <c r="K134" s="68" t="s">
        <v>206</v>
      </c>
      <c r="L134" s="69">
        <f t="shared" si="28"/>
        <v>0</v>
      </c>
      <c r="M134" s="75"/>
      <c r="N134" s="71">
        <f t="shared" si="30"/>
        <v>0</v>
      </c>
      <c r="O134" s="362"/>
      <c r="P134" s="12"/>
      <c r="Q134" s="12"/>
      <c r="R134" s="45"/>
      <c r="S134" s="108"/>
      <c r="T134" s="110"/>
      <c r="U134" s="29"/>
    </row>
    <row r="135" spans="1:21" s="46" customFormat="1" ht="54" customHeight="1" x14ac:dyDescent="0.3">
      <c r="A135" s="39"/>
      <c r="B135" s="333"/>
      <c r="C135" s="248"/>
      <c r="D135" s="353"/>
      <c r="E135" s="249"/>
      <c r="F135" s="276" t="s">
        <v>218</v>
      </c>
      <c r="G135" s="277"/>
      <c r="H135" s="278"/>
      <c r="I135" s="118">
        <f>IF(F135="","",VLOOKUP(F135,마케팅!E18:F23,2,0))</f>
        <v>20000</v>
      </c>
      <c r="J135" s="207">
        <v>0</v>
      </c>
      <c r="K135" s="68" t="s">
        <v>206</v>
      </c>
      <c r="L135" s="69">
        <f t="shared" si="28"/>
        <v>0</v>
      </c>
      <c r="M135" s="75"/>
      <c r="N135" s="71">
        <f t="shared" si="30"/>
        <v>0</v>
      </c>
      <c r="O135" s="362"/>
      <c r="P135" s="12"/>
      <c r="Q135" s="12"/>
      <c r="R135" s="45"/>
      <c r="S135" s="108"/>
      <c r="T135" s="110"/>
      <c r="U135" s="29"/>
    </row>
    <row r="136" spans="1:21" s="46" customFormat="1" ht="54" customHeight="1" x14ac:dyDescent="0.3">
      <c r="A136" s="39"/>
      <c r="B136" s="333"/>
      <c r="C136" s="248"/>
      <c r="D136" s="353"/>
      <c r="E136" s="249"/>
      <c r="F136" s="276" t="s">
        <v>219</v>
      </c>
      <c r="G136" s="277"/>
      <c r="H136" s="278"/>
      <c r="I136" s="118">
        <f>IF(F136="","",VLOOKUP(F136,마케팅!E19:F24,2,0))</f>
        <v>37500</v>
      </c>
      <c r="J136" s="207">
        <v>0</v>
      </c>
      <c r="K136" s="68" t="s">
        <v>206</v>
      </c>
      <c r="L136" s="69">
        <f t="shared" si="28"/>
        <v>0</v>
      </c>
      <c r="M136" s="75"/>
      <c r="N136" s="71">
        <f t="shared" si="30"/>
        <v>0</v>
      </c>
      <c r="O136" s="362"/>
      <c r="P136" s="12"/>
      <c r="Q136" s="12"/>
      <c r="R136" s="45"/>
      <c r="S136" s="108"/>
      <c r="T136" s="110"/>
      <c r="U136" s="29"/>
    </row>
    <row r="137" spans="1:21" s="46" customFormat="1" ht="54" customHeight="1" x14ac:dyDescent="0.3">
      <c r="A137" s="39"/>
      <c r="B137" s="333"/>
      <c r="C137" s="248"/>
      <c r="D137" s="353"/>
      <c r="E137" s="249"/>
      <c r="F137" s="276" t="s">
        <v>402</v>
      </c>
      <c r="G137" s="277"/>
      <c r="H137" s="278"/>
      <c r="I137" s="118">
        <v>50000</v>
      </c>
      <c r="J137" s="207">
        <v>0</v>
      </c>
      <c r="K137" s="68" t="s">
        <v>206</v>
      </c>
      <c r="L137" s="69">
        <f t="shared" si="28"/>
        <v>0</v>
      </c>
      <c r="M137" s="75"/>
      <c r="N137" s="71">
        <f t="shared" si="30"/>
        <v>0</v>
      </c>
      <c r="O137" s="362"/>
      <c r="P137" s="12"/>
      <c r="Q137" s="12"/>
      <c r="R137" s="45"/>
      <c r="S137" s="108"/>
      <c r="T137" s="110"/>
      <c r="U137" s="29"/>
    </row>
    <row r="138" spans="1:21" s="46" customFormat="1" ht="54" customHeight="1" x14ac:dyDescent="0.3">
      <c r="A138" s="39"/>
      <c r="B138" s="333"/>
      <c r="C138" s="248"/>
      <c r="D138" s="353"/>
      <c r="E138" s="249"/>
      <c r="F138" s="276" t="s">
        <v>220</v>
      </c>
      <c r="G138" s="277"/>
      <c r="H138" s="278"/>
      <c r="I138" s="118">
        <f>IF(F138="","",VLOOKUP(F138,마케팅!E20:F25,2,0))</f>
        <v>62500</v>
      </c>
      <c r="J138" s="207">
        <v>0</v>
      </c>
      <c r="K138" s="68" t="s">
        <v>206</v>
      </c>
      <c r="L138" s="69">
        <f t="shared" si="28"/>
        <v>0</v>
      </c>
      <c r="M138" s="75"/>
      <c r="N138" s="71">
        <f t="shared" si="30"/>
        <v>0</v>
      </c>
      <c r="O138" s="362"/>
      <c r="P138" s="12"/>
      <c r="Q138" s="12"/>
      <c r="R138" s="45"/>
      <c r="S138" s="108"/>
      <c r="T138" s="110"/>
      <c r="U138" s="29"/>
    </row>
    <row r="139" spans="1:21" s="46" customFormat="1" ht="54" customHeight="1" x14ac:dyDescent="0.3">
      <c r="A139" s="39"/>
      <c r="B139" s="334"/>
      <c r="C139" s="289"/>
      <c r="D139" s="354"/>
      <c r="E139" s="290"/>
      <c r="F139" s="276" t="s">
        <v>221</v>
      </c>
      <c r="G139" s="277"/>
      <c r="H139" s="278"/>
      <c r="I139" s="119" t="s">
        <v>58</v>
      </c>
      <c r="J139" s="207">
        <v>0</v>
      </c>
      <c r="K139" s="68" t="s">
        <v>206</v>
      </c>
      <c r="L139" s="127" t="str">
        <f>IF(J139=0,"-",I139*J139)</f>
        <v>-</v>
      </c>
      <c r="M139" s="75"/>
      <c r="N139" s="128" t="str">
        <f>IF(J139=0,"-",TRUNC((L139*(1-M139)),-1))</f>
        <v>-</v>
      </c>
      <c r="O139" s="363"/>
      <c r="P139" s="12"/>
      <c r="Q139" s="12"/>
      <c r="R139" s="45"/>
      <c r="S139" s="108"/>
      <c r="T139" s="110"/>
      <c r="U139" s="29"/>
    </row>
    <row r="140" spans="1:21" s="46" customFormat="1" ht="41.25" customHeight="1" x14ac:dyDescent="0.3">
      <c r="A140" s="39"/>
      <c r="B140" s="255" t="s">
        <v>193</v>
      </c>
      <c r="C140" s="256"/>
      <c r="D140" s="256"/>
      <c r="E140" s="256"/>
      <c r="F140" s="256"/>
      <c r="G140" s="256"/>
      <c r="H140" s="256"/>
      <c r="I140" s="256"/>
      <c r="J140" s="256"/>
      <c r="K140" s="257"/>
      <c r="L140" s="76">
        <f>SUM(L121:L139)</f>
        <v>0</v>
      </c>
      <c r="M140" s="77">
        <f>IFERROR(1-(N140/L140),0)</f>
        <v>0</v>
      </c>
      <c r="N140" s="74">
        <f>SUM(N121:N139)</f>
        <v>0</v>
      </c>
      <c r="O140" s="113"/>
      <c r="P140" s="12"/>
      <c r="Q140" s="12"/>
      <c r="S140" s="105"/>
      <c r="T140" s="109"/>
      <c r="U140" s="29"/>
    </row>
    <row r="141" spans="1:21" s="46" customFormat="1" ht="41.25" customHeight="1" x14ac:dyDescent="0.3">
      <c r="A141" s="39"/>
      <c r="B141" s="263" t="s">
        <v>104</v>
      </c>
      <c r="C141" s="235" t="s">
        <v>100</v>
      </c>
      <c r="D141" s="236"/>
      <c r="E141" s="237"/>
      <c r="F141" s="276" t="s">
        <v>199</v>
      </c>
      <c r="G141" s="277"/>
      <c r="H141" s="278"/>
      <c r="I141" s="118">
        <v>3000</v>
      </c>
      <c r="J141" s="208">
        <v>0</v>
      </c>
      <c r="K141" s="204" t="s">
        <v>463</v>
      </c>
      <c r="L141" s="205">
        <f t="shared" ref="L141" si="31">IF(J141="","",I141*J141)</f>
        <v>0</v>
      </c>
      <c r="M141" s="70"/>
      <c r="N141" s="71">
        <f>IF(J141="","",TRUNC((L141*(1-M141)),-2))</f>
        <v>0</v>
      </c>
      <c r="O141" s="206" t="str">
        <f>IF(AND(J141&gt;0,J31=0),"인사관리 선택 시 견적 가능","- 연단위 청구")</f>
        <v>- 연단위 청구</v>
      </c>
      <c r="P141" s="12"/>
      <c r="Q141" s="12"/>
      <c r="S141" s="105"/>
      <c r="T141" s="109"/>
      <c r="U141" s="29"/>
    </row>
    <row r="142" spans="1:21" s="46" customFormat="1" ht="89.25" customHeight="1" thickBot="1" x14ac:dyDescent="0.35">
      <c r="A142" s="39"/>
      <c r="B142" s="264"/>
      <c r="C142" s="265" t="s">
        <v>125</v>
      </c>
      <c r="D142" s="266"/>
      <c r="E142" s="267"/>
      <c r="F142" s="358" t="s">
        <v>204</v>
      </c>
      <c r="G142" s="359"/>
      <c r="H142" s="360"/>
      <c r="I142" s="118">
        <f>IF(F142="","",VLOOKUP(F142,마케팅!E11:F12,2,0))</f>
        <v>500000</v>
      </c>
      <c r="J142" s="207">
        <v>0</v>
      </c>
      <c r="K142" s="67" t="s">
        <v>169</v>
      </c>
      <c r="L142" s="69">
        <f>IF(J142="","",I142*J142)</f>
        <v>0</v>
      </c>
      <c r="M142" s="75"/>
      <c r="N142" s="71">
        <f>IF(J142="","",TRUNC((L142*(1-M142)),-3))</f>
        <v>0</v>
      </c>
      <c r="O142" s="114" t="s">
        <v>423</v>
      </c>
      <c r="P142" s="12"/>
      <c r="Q142" s="12"/>
      <c r="R142" s="45"/>
      <c r="S142" s="106" t="s">
        <v>43</v>
      </c>
      <c r="T142" s="107" t="s">
        <v>163</v>
      </c>
      <c r="U142" s="29"/>
    </row>
    <row r="143" spans="1:21" s="13" customFormat="1" ht="44.25" customHeight="1" x14ac:dyDescent="0.3">
      <c r="B143" s="255" t="s">
        <v>436</v>
      </c>
      <c r="C143" s="256"/>
      <c r="D143" s="256"/>
      <c r="E143" s="256"/>
      <c r="F143" s="256"/>
      <c r="G143" s="256"/>
      <c r="H143" s="256"/>
      <c r="I143" s="256"/>
      <c r="J143" s="256"/>
      <c r="K143" s="257"/>
      <c r="L143" s="76">
        <f>SUM(L141:L142)</f>
        <v>0</v>
      </c>
      <c r="M143" s="77">
        <f>IFERROR(1-(N143/L143),0)</f>
        <v>0</v>
      </c>
      <c r="N143" s="74">
        <f>SUM(N141:N142)</f>
        <v>0</v>
      </c>
      <c r="O143" s="113"/>
      <c r="P143" s="12"/>
      <c r="Q143" s="12"/>
      <c r="S143" s="29"/>
      <c r="T143" s="29"/>
      <c r="U143" s="29"/>
    </row>
    <row r="144" spans="1:21" s="46" customFormat="1" ht="59.25" customHeight="1" thickBot="1" x14ac:dyDescent="0.5">
      <c r="B144" s="33" t="s">
        <v>391</v>
      </c>
      <c r="C144" s="172"/>
      <c r="D144" s="172"/>
      <c r="E144" s="172"/>
      <c r="F144" s="172"/>
      <c r="G144" s="172"/>
      <c r="H144" s="172"/>
      <c r="I144" s="172"/>
      <c r="J144" s="172"/>
      <c r="K144" s="172"/>
      <c r="L144" s="173"/>
      <c r="M144" s="174"/>
      <c r="N144" s="175"/>
      <c r="O144" s="176"/>
      <c r="P144" s="12"/>
      <c r="Q144" s="12"/>
      <c r="S144" s="29"/>
      <c r="T144" s="29"/>
      <c r="U144" s="29"/>
    </row>
    <row r="145" spans="2:21" s="46" customFormat="1" ht="44.25" customHeight="1" thickBot="1" x14ac:dyDescent="0.35">
      <c r="B145" s="72" t="s">
        <v>378</v>
      </c>
      <c r="C145" s="329" t="s">
        <v>379</v>
      </c>
      <c r="D145" s="330"/>
      <c r="E145" s="331"/>
      <c r="F145" s="72" t="s">
        <v>380</v>
      </c>
      <c r="G145" s="72"/>
      <c r="H145" s="72"/>
      <c r="I145" s="73" t="s">
        <v>381</v>
      </c>
      <c r="J145" s="73" t="s">
        <v>382</v>
      </c>
      <c r="K145" s="73" t="s">
        <v>383</v>
      </c>
      <c r="L145" s="73" t="s">
        <v>384</v>
      </c>
      <c r="M145" s="73" t="s">
        <v>385</v>
      </c>
      <c r="N145" s="73" t="s">
        <v>386</v>
      </c>
      <c r="O145" s="73" t="s">
        <v>387</v>
      </c>
      <c r="P145" s="12"/>
      <c r="Q145" s="12"/>
      <c r="S145" s="93" t="s">
        <v>194</v>
      </c>
      <c r="T145" s="168" t="s">
        <v>195</v>
      </c>
      <c r="U145" s="29"/>
    </row>
    <row r="146" spans="2:21" s="46" customFormat="1" ht="92.25" customHeight="1" thickBot="1" x14ac:dyDescent="0.35">
      <c r="B146" s="177" t="s">
        <v>388</v>
      </c>
      <c r="C146" s="246" t="s">
        <v>389</v>
      </c>
      <c r="D146" s="247"/>
      <c r="E146" s="180" t="s">
        <v>398</v>
      </c>
      <c r="F146" s="276"/>
      <c r="G146" s="277"/>
      <c r="H146" s="278"/>
      <c r="I146" s="135">
        <v>1000000</v>
      </c>
      <c r="J146" s="207">
        <v>0</v>
      </c>
      <c r="K146" s="68" t="s">
        <v>394</v>
      </c>
      <c r="L146" s="69">
        <f>J146*I146</f>
        <v>0</v>
      </c>
      <c r="M146" s="75"/>
      <c r="N146" s="71">
        <f t="shared" ref="N146" si="32">IF(J146="","",TRUNC((L146*(1-M146)),-2))</f>
        <v>0</v>
      </c>
      <c r="O146" s="169" t="s">
        <v>392</v>
      </c>
      <c r="P146" s="12"/>
      <c r="Q146" s="12"/>
      <c r="S146" s="106" t="s">
        <v>393</v>
      </c>
      <c r="T146" s="181" t="s">
        <v>399</v>
      </c>
      <c r="U146" s="29"/>
    </row>
    <row r="147" spans="2:21" s="46" customFormat="1" ht="44.25" customHeight="1" x14ac:dyDescent="0.3">
      <c r="B147" s="255" t="s">
        <v>390</v>
      </c>
      <c r="C147" s="256"/>
      <c r="D147" s="256"/>
      <c r="E147" s="256"/>
      <c r="F147" s="256"/>
      <c r="G147" s="256"/>
      <c r="H147" s="256"/>
      <c r="I147" s="256"/>
      <c r="J147" s="256"/>
      <c r="K147" s="257"/>
      <c r="L147" s="76">
        <f>SUM(L146:L146)</f>
        <v>0</v>
      </c>
      <c r="M147" s="77">
        <f>IFERROR(1-(N147/L147),0)</f>
        <v>0</v>
      </c>
      <c r="N147" s="74">
        <f>SUM(N146:N146)</f>
        <v>0</v>
      </c>
      <c r="O147" s="115"/>
      <c r="P147" s="12"/>
      <c r="Q147" s="12"/>
      <c r="S147" s="61"/>
      <c r="T147" s="61"/>
      <c r="U147" s="29"/>
    </row>
    <row r="148" spans="2:21" s="54" customFormat="1" ht="27.75" customHeight="1" x14ac:dyDescent="0.3"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1"/>
      <c r="M148" s="52"/>
      <c r="N148" s="51"/>
      <c r="O148" s="53"/>
      <c r="P148" s="60"/>
      <c r="Q148" s="60"/>
      <c r="S148" s="61"/>
      <c r="T148" s="61"/>
      <c r="U148" s="61"/>
    </row>
    <row r="149" spans="2:21" s="54" customFormat="1" ht="42.75" customHeight="1" x14ac:dyDescent="0.45">
      <c r="B149" s="33" t="s">
        <v>410</v>
      </c>
      <c r="C149" s="172"/>
      <c r="D149" s="172"/>
      <c r="E149" s="172"/>
      <c r="F149" s="172"/>
      <c r="G149" s="172"/>
      <c r="H149" s="172"/>
      <c r="I149" s="172"/>
      <c r="J149" s="172"/>
      <c r="K149" s="172"/>
      <c r="L149" s="173"/>
      <c r="M149" s="174"/>
      <c r="N149" s="175"/>
      <c r="O149" s="176"/>
      <c r="P149" s="60"/>
      <c r="Q149" s="60"/>
      <c r="S149" s="61"/>
      <c r="T149" s="61"/>
      <c r="U149" s="61"/>
    </row>
    <row r="150" spans="2:21" s="54" customFormat="1" ht="43.5" customHeight="1" x14ac:dyDescent="0.3">
      <c r="B150" s="72" t="s">
        <v>378</v>
      </c>
      <c r="C150" s="329" t="s">
        <v>1</v>
      </c>
      <c r="D150" s="330"/>
      <c r="E150" s="331"/>
      <c r="F150" s="72" t="s">
        <v>380</v>
      </c>
      <c r="G150" s="72"/>
      <c r="H150" s="72"/>
      <c r="I150" s="73" t="s">
        <v>381</v>
      </c>
      <c r="J150" s="73" t="s">
        <v>382</v>
      </c>
      <c r="K150" s="73" t="s">
        <v>383</v>
      </c>
      <c r="L150" s="73" t="s">
        <v>384</v>
      </c>
      <c r="M150" s="73" t="s">
        <v>385</v>
      </c>
      <c r="N150" s="73" t="s">
        <v>386</v>
      </c>
      <c r="O150" s="73" t="s">
        <v>122</v>
      </c>
      <c r="P150" s="60"/>
      <c r="Q150" s="60"/>
      <c r="S150" s="61"/>
      <c r="T150" s="61"/>
      <c r="U150" s="61"/>
    </row>
    <row r="151" spans="2:21" s="54" customFormat="1" ht="70.5" customHeight="1" x14ac:dyDescent="0.3">
      <c r="B151" s="328" t="s">
        <v>409</v>
      </c>
      <c r="C151" s="246" t="s">
        <v>449</v>
      </c>
      <c r="D151" s="247"/>
      <c r="E151" s="195" t="s">
        <v>450</v>
      </c>
      <c r="F151" s="252" t="s">
        <v>455</v>
      </c>
      <c r="G151" s="253"/>
      <c r="H151" s="254"/>
      <c r="I151" s="119" t="s">
        <v>524</v>
      </c>
      <c r="J151" s="209"/>
      <c r="K151" s="189" t="s">
        <v>227</v>
      </c>
      <c r="L151" s="190" t="str">
        <f t="shared" ref="L151:L154" si="33">IF(J151="","",I151*J151)</f>
        <v/>
      </c>
      <c r="M151" s="191"/>
      <c r="N151" s="192" t="str">
        <f t="shared" ref="N151:N154" si="34">IF(J151="","",TRUNC((L151*(1-M151)),-3))</f>
        <v/>
      </c>
      <c r="O151" s="364" t="s">
        <v>456</v>
      </c>
      <c r="P151" s="60"/>
      <c r="Q151" s="60"/>
      <c r="S151" s="61"/>
      <c r="T151" s="61"/>
      <c r="U151" s="61"/>
    </row>
    <row r="152" spans="2:21" s="54" customFormat="1" ht="70.5" customHeight="1" x14ac:dyDescent="0.3">
      <c r="B152" s="328"/>
      <c r="C152" s="248"/>
      <c r="D152" s="249"/>
      <c r="E152" s="195" t="s">
        <v>451</v>
      </c>
      <c r="F152" s="252" t="s">
        <v>454</v>
      </c>
      <c r="G152" s="253"/>
      <c r="H152" s="254"/>
      <c r="I152" s="119" t="s">
        <v>524</v>
      </c>
      <c r="J152" s="209"/>
      <c r="K152" s="189" t="s">
        <v>227</v>
      </c>
      <c r="L152" s="190" t="str">
        <f t="shared" si="33"/>
        <v/>
      </c>
      <c r="M152" s="191"/>
      <c r="N152" s="192" t="str">
        <f t="shared" si="34"/>
        <v/>
      </c>
      <c r="O152" s="365"/>
      <c r="P152" s="60"/>
      <c r="Q152" s="60"/>
      <c r="S152" s="61"/>
      <c r="T152" s="61"/>
      <c r="U152" s="61"/>
    </row>
    <row r="153" spans="2:21" s="54" customFormat="1" ht="70.5" customHeight="1" x14ac:dyDescent="0.3">
      <c r="B153" s="328"/>
      <c r="C153" s="248"/>
      <c r="D153" s="249"/>
      <c r="E153" s="195" t="s">
        <v>452</v>
      </c>
      <c r="F153" s="252" t="s">
        <v>453</v>
      </c>
      <c r="G153" s="253"/>
      <c r="H153" s="254"/>
      <c r="I153" s="119" t="s">
        <v>524</v>
      </c>
      <c r="J153" s="209"/>
      <c r="K153" s="189" t="s">
        <v>227</v>
      </c>
      <c r="L153" s="190" t="str">
        <f t="shared" si="33"/>
        <v/>
      </c>
      <c r="M153" s="191"/>
      <c r="N153" s="192" t="str">
        <f t="shared" si="34"/>
        <v/>
      </c>
      <c r="O153" s="366"/>
      <c r="P153" s="60"/>
      <c r="Q153" s="60"/>
      <c r="S153" s="61"/>
      <c r="T153" s="61"/>
      <c r="U153" s="61"/>
    </row>
    <row r="154" spans="2:21" s="54" customFormat="1" ht="70.5" customHeight="1" x14ac:dyDescent="0.3">
      <c r="B154" s="328"/>
      <c r="C154" s="289"/>
      <c r="D154" s="290"/>
      <c r="E154" s="197" t="s">
        <v>408</v>
      </c>
      <c r="F154" s="252" t="s">
        <v>353</v>
      </c>
      <c r="G154" s="253"/>
      <c r="H154" s="254"/>
      <c r="I154" s="118">
        <v>1500000</v>
      </c>
      <c r="J154" s="209">
        <v>0</v>
      </c>
      <c r="K154" s="189" t="s">
        <v>415</v>
      </c>
      <c r="L154" s="190">
        <f t="shared" si="33"/>
        <v>0</v>
      </c>
      <c r="M154" s="193"/>
      <c r="N154" s="192">
        <f t="shared" si="34"/>
        <v>0</v>
      </c>
      <c r="O154" s="194"/>
      <c r="P154" s="60"/>
      <c r="Q154" s="60"/>
      <c r="S154" s="61"/>
      <c r="T154" s="61"/>
      <c r="U154" s="61"/>
    </row>
    <row r="155" spans="2:21" s="54" customFormat="1" ht="43.5" customHeight="1" x14ac:dyDescent="0.3">
      <c r="B155" s="255" t="s">
        <v>411</v>
      </c>
      <c r="C155" s="256"/>
      <c r="D155" s="256"/>
      <c r="E155" s="256"/>
      <c r="F155" s="256"/>
      <c r="G155" s="256"/>
      <c r="H155" s="256"/>
      <c r="I155" s="256"/>
      <c r="J155" s="256"/>
      <c r="K155" s="257"/>
      <c r="L155" s="76">
        <f>SUM(L151:L154)</f>
        <v>0</v>
      </c>
      <c r="M155" s="77">
        <f>IFERROR(1-(N155/L155),0)</f>
        <v>0</v>
      </c>
      <c r="N155" s="74">
        <f>SUM(N151:N154)</f>
        <v>0</v>
      </c>
      <c r="O155" s="115"/>
      <c r="P155" s="60"/>
      <c r="Q155" s="60"/>
      <c r="S155" s="61"/>
      <c r="T155" s="61"/>
      <c r="U155" s="61"/>
    </row>
    <row r="156" spans="2:21" s="54" customFormat="1" ht="27.75" customHeight="1" x14ac:dyDescent="0.3"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1"/>
      <c r="M156" s="52"/>
      <c r="N156" s="51"/>
      <c r="O156" s="53"/>
      <c r="P156" s="60"/>
      <c r="Q156" s="60"/>
      <c r="S156" s="61"/>
      <c r="T156" s="61"/>
      <c r="U156" s="61"/>
    </row>
    <row r="157" spans="2:21" s="54" customFormat="1" ht="27.75" customHeight="1" x14ac:dyDescent="0.3"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1"/>
      <c r="M157" s="52"/>
      <c r="N157" s="51"/>
      <c r="O157" s="53"/>
      <c r="P157" s="60"/>
      <c r="Q157" s="60"/>
      <c r="S157" s="61"/>
      <c r="T157" s="61"/>
      <c r="U157" s="61"/>
    </row>
    <row r="158" spans="2:21" s="54" customFormat="1" ht="27.75" customHeight="1" thickBot="1" x14ac:dyDescent="0.35"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1"/>
      <c r="M158" s="52"/>
      <c r="N158" s="51"/>
      <c r="O158" s="53"/>
      <c r="P158" s="60"/>
      <c r="Q158" s="60"/>
      <c r="S158" s="61"/>
      <c r="T158" s="61"/>
      <c r="U158" s="61"/>
    </row>
    <row r="159" spans="2:21" s="14" customFormat="1" ht="29.25" customHeight="1" thickBot="1" x14ac:dyDescent="0.5">
      <c r="B159" s="15" t="s">
        <v>427</v>
      </c>
      <c r="C159" s="2"/>
      <c r="D159" s="2"/>
      <c r="E159" s="2"/>
      <c r="F159" s="2"/>
      <c r="G159" s="2"/>
      <c r="H159" s="2"/>
      <c r="I159" s="2"/>
      <c r="J159" s="3"/>
      <c r="K159" s="3"/>
      <c r="L159" s="16"/>
      <c r="M159" s="3"/>
      <c r="N159" s="2"/>
      <c r="O159" s="2"/>
      <c r="S159" s="344" t="s">
        <v>195</v>
      </c>
      <c r="T159" s="345"/>
      <c r="U159" s="30"/>
    </row>
    <row r="160" spans="2:21" s="14" customFormat="1" ht="20.25" customHeight="1" x14ac:dyDescent="0.3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8"/>
      <c r="M160" s="19"/>
      <c r="N160" s="20"/>
      <c r="O160" s="17"/>
      <c r="S160" s="346" t="s">
        <v>412</v>
      </c>
      <c r="T160" s="347"/>
      <c r="U160" s="5"/>
    </row>
    <row r="161" spans="2:21" s="14" customFormat="1" ht="24.6" customHeight="1" x14ac:dyDescent="0.3">
      <c r="B161" s="4" t="s">
        <v>22</v>
      </c>
      <c r="C161" s="21"/>
      <c r="D161" s="21"/>
      <c r="E161" s="21"/>
      <c r="F161" s="21"/>
      <c r="G161" s="336" t="s">
        <v>256</v>
      </c>
      <c r="H161" s="338">
        <v>1</v>
      </c>
      <c r="I161" s="258">
        <f>(N110)*H161</f>
        <v>0</v>
      </c>
      <c r="J161" s="258"/>
      <c r="K161" s="341" t="s">
        <v>309</v>
      </c>
      <c r="L161" s="341"/>
      <c r="M161" s="341"/>
      <c r="N161" s="341"/>
      <c r="O161" s="341"/>
      <c r="S161" s="348"/>
      <c r="T161" s="349"/>
      <c r="U161" s="5"/>
    </row>
    <row r="162" spans="2:21" s="14" customFormat="1" ht="24.6" customHeight="1" x14ac:dyDescent="0.3">
      <c r="B162" s="4" t="s">
        <v>23</v>
      </c>
      <c r="C162" s="21"/>
      <c r="D162" s="21"/>
      <c r="E162" s="21"/>
      <c r="F162" s="21"/>
      <c r="G162" s="337"/>
      <c r="H162" s="339"/>
      <c r="I162" s="259"/>
      <c r="J162" s="259"/>
      <c r="K162" s="341" t="s">
        <v>310</v>
      </c>
      <c r="L162" s="341"/>
      <c r="M162" s="341"/>
      <c r="N162" s="341"/>
      <c r="O162" s="341"/>
      <c r="S162" s="348"/>
      <c r="T162" s="349"/>
      <c r="U162" s="5"/>
    </row>
    <row r="163" spans="2:21" s="14" customFormat="1" ht="24.6" customHeight="1" x14ac:dyDescent="0.3">
      <c r="B163" s="4" t="s">
        <v>308</v>
      </c>
      <c r="C163" s="21"/>
      <c r="D163" s="21"/>
      <c r="E163" s="21"/>
      <c r="F163" s="21"/>
      <c r="G163" s="336" t="s">
        <v>257</v>
      </c>
      <c r="H163" s="338">
        <v>1</v>
      </c>
      <c r="I163" s="258">
        <f>(N117)*H163</f>
        <v>0</v>
      </c>
      <c r="J163" s="258"/>
      <c r="K163" s="340" t="s">
        <v>304</v>
      </c>
      <c r="L163" s="340"/>
      <c r="M163" s="340"/>
      <c r="N163" s="340"/>
      <c r="O163" s="340"/>
      <c r="S163" s="348"/>
      <c r="T163" s="349"/>
      <c r="U163" s="5"/>
    </row>
    <row r="164" spans="2:21" s="14" customFormat="1" ht="24.6" customHeight="1" x14ac:dyDescent="0.3">
      <c r="B164" s="78" t="s">
        <v>429</v>
      </c>
      <c r="C164" s="21"/>
      <c r="D164" s="21"/>
      <c r="E164" s="21"/>
      <c r="F164" s="21"/>
      <c r="G164" s="337"/>
      <c r="H164" s="339"/>
      <c r="I164" s="259"/>
      <c r="J164" s="259"/>
      <c r="K164" s="341" t="s">
        <v>301</v>
      </c>
      <c r="L164" s="341"/>
      <c r="M164" s="341"/>
      <c r="N164" s="341"/>
      <c r="O164" s="341"/>
      <c r="S164" s="348"/>
      <c r="T164" s="349"/>
      <c r="U164" s="5"/>
    </row>
    <row r="165" spans="2:21" s="14" customFormat="1" ht="24.6" customHeight="1" x14ac:dyDescent="0.3">
      <c r="B165" s="4" t="s">
        <v>24</v>
      </c>
      <c r="C165" s="21"/>
      <c r="D165" s="21"/>
      <c r="E165" s="21"/>
      <c r="F165" s="21"/>
      <c r="G165" s="342" t="s">
        <v>435</v>
      </c>
      <c r="H165" s="338">
        <v>1</v>
      </c>
      <c r="I165" s="258">
        <f>(N143)*H165</f>
        <v>0</v>
      </c>
      <c r="J165" s="258"/>
      <c r="K165" s="340" t="s">
        <v>302</v>
      </c>
      <c r="L165" s="340"/>
      <c r="M165" s="340"/>
      <c r="N165" s="340"/>
      <c r="O165" s="340"/>
      <c r="S165" s="348"/>
      <c r="T165" s="349"/>
      <c r="U165" s="5"/>
    </row>
    <row r="166" spans="2:21" s="14" customFormat="1" ht="24.6" customHeight="1" x14ac:dyDescent="0.3">
      <c r="B166" s="4"/>
      <c r="C166" s="21"/>
      <c r="D166" s="21"/>
      <c r="E166" s="21"/>
      <c r="F166" s="21"/>
      <c r="G166" s="343"/>
      <c r="H166" s="339"/>
      <c r="I166" s="259"/>
      <c r="J166" s="259"/>
      <c r="K166" s="341" t="s">
        <v>311</v>
      </c>
      <c r="L166" s="341"/>
      <c r="M166" s="341"/>
      <c r="N166" s="341"/>
      <c r="O166" s="341"/>
      <c r="S166" s="348"/>
      <c r="T166" s="349"/>
      <c r="U166" s="5"/>
    </row>
    <row r="167" spans="2:21" s="14" customFormat="1" ht="26.25" customHeight="1" x14ac:dyDescent="0.3">
      <c r="B167" s="4"/>
      <c r="C167" s="21"/>
      <c r="D167" s="21"/>
      <c r="E167" s="21"/>
      <c r="F167" s="21"/>
      <c r="G167" s="336" t="s">
        <v>434</v>
      </c>
      <c r="H167" s="338">
        <v>1</v>
      </c>
      <c r="I167" s="258">
        <f>(N140)*H167</f>
        <v>0</v>
      </c>
      <c r="J167" s="258"/>
      <c r="K167" s="340" t="s">
        <v>303</v>
      </c>
      <c r="L167" s="340"/>
      <c r="M167" s="340"/>
      <c r="N167" s="340"/>
      <c r="O167" s="340"/>
      <c r="S167" s="348"/>
      <c r="T167" s="349"/>
      <c r="U167" s="5"/>
    </row>
    <row r="168" spans="2:21" s="14" customFormat="1" ht="26.25" customHeight="1" x14ac:dyDescent="0.3">
      <c r="B168" s="4"/>
      <c r="C168" s="21"/>
      <c r="D168" s="21"/>
      <c r="E168" s="21"/>
      <c r="F168" s="21"/>
      <c r="G168" s="337"/>
      <c r="H168" s="339"/>
      <c r="I168" s="259"/>
      <c r="J168" s="259"/>
      <c r="K168" s="341" t="s">
        <v>311</v>
      </c>
      <c r="L168" s="341"/>
      <c r="M168" s="341"/>
      <c r="N168" s="341"/>
      <c r="O168" s="341"/>
      <c r="S168" s="348"/>
      <c r="T168" s="349"/>
      <c r="U168" s="5"/>
    </row>
    <row r="169" spans="2:21" s="14" customFormat="1" ht="26.25" customHeight="1" x14ac:dyDescent="0.3">
      <c r="B169" s="4"/>
      <c r="C169" s="21"/>
      <c r="D169" s="21"/>
      <c r="E169" s="21"/>
      <c r="F169" s="21"/>
      <c r="G169" s="336" t="s">
        <v>395</v>
      </c>
      <c r="H169" s="338">
        <v>1</v>
      </c>
      <c r="I169" s="258">
        <f>N147*H169</f>
        <v>0</v>
      </c>
      <c r="J169" s="258"/>
      <c r="K169" s="340" t="s">
        <v>396</v>
      </c>
      <c r="L169" s="340"/>
      <c r="M169" s="340"/>
      <c r="N169" s="340"/>
      <c r="O169" s="340"/>
      <c r="S169" s="348"/>
      <c r="T169" s="349"/>
      <c r="U169" s="5"/>
    </row>
    <row r="170" spans="2:21" s="14" customFormat="1" ht="26.25" customHeight="1" x14ac:dyDescent="0.3">
      <c r="B170" s="4"/>
      <c r="C170" s="21"/>
      <c r="D170" s="21"/>
      <c r="E170" s="21"/>
      <c r="F170" s="21"/>
      <c r="G170" s="337"/>
      <c r="H170" s="339"/>
      <c r="I170" s="259"/>
      <c r="J170" s="259"/>
      <c r="K170" s="341" t="s">
        <v>311</v>
      </c>
      <c r="L170" s="341"/>
      <c r="M170" s="341"/>
      <c r="N170" s="341"/>
      <c r="O170" s="341"/>
      <c r="S170" s="348"/>
      <c r="T170" s="349"/>
      <c r="U170" s="5"/>
    </row>
    <row r="171" spans="2:21" s="14" customFormat="1" ht="26.25" customHeight="1" x14ac:dyDescent="0.3">
      <c r="B171" s="4"/>
      <c r="C171" s="21"/>
      <c r="D171" s="21"/>
      <c r="E171" s="21"/>
      <c r="F171" s="21"/>
      <c r="G171" s="336" t="s">
        <v>414</v>
      </c>
      <c r="H171" s="338">
        <v>1</v>
      </c>
      <c r="I171" s="258">
        <f>N155*H171</f>
        <v>0</v>
      </c>
      <c r="J171" s="258"/>
      <c r="K171" s="340" t="s">
        <v>430</v>
      </c>
      <c r="L171" s="340"/>
      <c r="M171" s="340"/>
      <c r="N171" s="340"/>
      <c r="O171" s="340"/>
      <c r="S171" s="348"/>
      <c r="T171" s="349"/>
      <c r="U171" s="5"/>
    </row>
    <row r="172" spans="2:21" s="14" customFormat="1" ht="26.25" customHeight="1" x14ac:dyDescent="0.3">
      <c r="B172" s="4"/>
      <c r="C172" s="21"/>
      <c r="D172" s="21"/>
      <c r="E172" s="21"/>
      <c r="F172" s="21"/>
      <c r="G172" s="337"/>
      <c r="H172" s="339"/>
      <c r="I172" s="259"/>
      <c r="J172" s="259"/>
      <c r="K172" s="341" t="s">
        <v>301</v>
      </c>
      <c r="L172" s="341"/>
      <c r="M172" s="341"/>
      <c r="N172" s="341"/>
      <c r="O172" s="341"/>
      <c r="S172" s="348"/>
      <c r="T172" s="349"/>
      <c r="U172" s="5"/>
    </row>
    <row r="173" spans="2:21" s="14" customFormat="1" ht="24.6" customHeight="1" x14ac:dyDescent="0.3">
      <c r="B173" s="4"/>
      <c r="C173" s="21"/>
      <c r="D173" s="21"/>
      <c r="E173" s="21"/>
      <c r="F173" s="21"/>
      <c r="G173" s="142" t="s">
        <v>258</v>
      </c>
      <c r="H173" s="143"/>
      <c r="I173" s="335">
        <f>SUM(I161:J172)</f>
        <v>0</v>
      </c>
      <c r="J173" s="335"/>
      <c r="K173" s="145"/>
      <c r="L173" s="144"/>
      <c r="M173" s="145"/>
      <c r="N173" s="145"/>
      <c r="O173" s="146"/>
      <c r="S173" s="348"/>
      <c r="T173" s="349"/>
      <c r="U173" s="5"/>
    </row>
    <row r="174" spans="2:21" s="14" customFormat="1" ht="24.6" customHeight="1" x14ac:dyDescent="0.3">
      <c r="B174" s="4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S174" s="348"/>
      <c r="T174" s="349"/>
      <c r="U174" s="5"/>
    </row>
    <row r="175" spans="2:21" s="14" customFormat="1" ht="24.6" customHeight="1" x14ac:dyDescent="0.3">
      <c r="B175" s="4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S175" s="348"/>
      <c r="T175" s="349"/>
      <c r="U175" s="5"/>
    </row>
    <row r="176" spans="2:21" s="14" customFormat="1" ht="24.6" customHeight="1" x14ac:dyDescent="0.3">
      <c r="B176" s="4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S176" s="348"/>
      <c r="T176" s="349"/>
      <c r="U176" s="5"/>
    </row>
    <row r="177" spans="2:21" s="14" customFormat="1" ht="24.6" customHeight="1" x14ac:dyDescent="0.3">
      <c r="B177" s="4"/>
      <c r="C177" s="21"/>
      <c r="D177" s="21"/>
      <c r="E177" s="21"/>
      <c r="F177" s="21"/>
      <c r="G177" s="21"/>
      <c r="H177" s="21"/>
      <c r="I177"/>
      <c r="J177"/>
      <c r="K177"/>
      <c r="L177"/>
      <c r="M177"/>
      <c r="N177"/>
      <c r="O177"/>
      <c r="S177" s="348"/>
      <c r="T177" s="349"/>
      <c r="U177" s="5"/>
    </row>
    <row r="178" spans="2:21" s="14" customFormat="1" ht="23.25" customHeight="1" x14ac:dyDescent="0.3">
      <c r="B178" s="21"/>
      <c r="C178" s="21"/>
      <c r="D178" s="21"/>
      <c r="E178" s="21"/>
      <c r="F178" s="21"/>
      <c r="G178" s="21"/>
      <c r="H178" s="21"/>
      <c r="I178"/>
      <c r="J178"/>
      <c r="K178"/>
      <c r="L178"/>
      <c r="M178"/>
      <c r="N178"/>
      <c r="O178"/>
      <c r="S178" s="348"/>
      <c r="T178" s="349"/>
      <c r="U178" s="5"/>
    </row>
    <row r="179" spans="2:21" s="14" customFormat="1" ht="23.25" customHeight="1" x14ac:dyDescent="0.3">
      <c r="C179" s="21"/>
      <c r="D179" s="21"/>
      <c r="E179" s="21"/>
      <c r="F179" s="21"/>
      <c r="G179" s="21"/>
      <c r="H179" s="21"/>
      <c r="I179"/>
      <c r="J179"/>
      <c r="K179"/>
      <c r="L179"/>
      <c r="M179"/>
      <c r="N179"/>
      <c r="O179"/>
      <c r="S179" s="348"/>
      <c r="T179" s="349"/>
      <c r="U179" s="5"/>
    </row>
    <row r="180" spans="2:21" ht="16.5" customHeight="1" x14ac:dyDescent="0.3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"/>
      <c r="S180" s="348"/>
      <c r="T180" s="349"/>
    </row>
    <row r="181" spans="2:21" ht="15.75" customHeight="1" x14ac:dyDescent="0.3">
      <c r="I181" s="23"/>
      <c r="L181" s="3"/>
      <c r="N181" s="3"/>
      <c r="S181" s="348"/>
      <c r="T181" s="349"/>
    </row>
    <row r="182" spans="2:21" s="2" customFormat="1" ht="15.75" customHeight="1" x14ac:dyDescent="0.3">
      <c r="J182" s="3"/>
      <c r="K182" s="3"/>
      <c r="L182" s="3"/>
      <c r="M182" s="3"/>
      <c r="N182" s="3"/>
      <c r="S182" s="348"/>
      <c r="T182" s="349"/>
      <c r="U182" s="3"/>
    </row>
    <row r="183" spans="2:21" ht="15.75" customHeight="1" x14ac:dyDescent="0.3">
      <c r="S183" s="348"/>
      <c r="T183" s="349"/>
    </row>
    <row r="184" spans="2:21" ht="15.75" customHeight="1" x14ac:dyDescent="0.3">
      <c r="S184" s="348"/>
      <c r="T184" s="349"/>
    </row>
    <row r="185" spans="2:21" ht="15.75" customHeight="1" x14ac:dyDescent="0.3">
      <c r="S185" s="348"/>
      <c r="T185" s="349"/>
    </row>
    <row r="186" spans="2:21" ht="15.75" customHeight="1" x14ac:dyDescent="0.3">
      <c r="S186" s="348"/>
      <c r="T186" s="349"/>
    </row>
    <row r="187" spans="2:21" ht="15.75" customHeight="1" x14ac:dyDescent="0.3">
      <c r="S187" s="348"/>
      <c r="T187" s="349"/>
    </row>
    <row r="188" spans="2:21" ht="15.75" customHeight="1" x14ac:dyDescent="0.3">
      <c r="S188" s="348"/>
      <c r="T188" s="349"/>
    </row>
    <row r="189" spans="2:21" ht="15.75" customHeight="1" x14ac:dyDescent="0.3">
      <c r="S189" s="348"/>
      <c r="T189" s="349"/>
    </row>
    <row r="190" spans="2:21" s="2" customFormat="1" ht="15.75" customHeight="1" x14ac:dyDescent="0.3">
      <c r="B190" s="22"/>
      <c r="J190" s="3"/>
      <c r="K190" s="3"/>
      <c r="M190" s="3"/>
      <c r="S190" s="348"/>
      <c r="T190" s="349"/>
      <c r="U190" s="3"/>
    </row>
    <row r="191" spans="2:21" ht="15.75" customHeight="1" x14ac:dyDescent="0.3">
      <c r="S191" s="348"/>
      <c r="T191" s="349"/>
    </row>
    <row r="192" spans="2:21" ht="15.75" customHeight="1" x14ac:dyDescent="0.3">
      <c r="S192" s="348"/>
      <c r="T192" s="349"/>
    </row>
    <row r="193" spans="19:20" ht="15.75" customHeight="1" x14ac:dyDescent="0.3">
      <c r="S193" s="348"/>
      <c r="T193" s="349"/>
    </row>
    <row r="194" spans="19:20" ht="15.75" customHeight="1" x14ac:dyDescent="0.3">
      <c r="S194" s="348"/>
      <c r="T194" s="349"/>
    </row>
    <row r="195" spans="19:20" ht="15.75" customHeight="1" x14ac:dyDescent="0.3">
      <c r="S195" s="348"/>
      <c r="T195" s="349"/>
    </row>
    <row r="196" spans="19:20" ht="15.75" customHeight="1" x14ac:dyDescent="0.3">
      <c r="S196" s="348"/>
      <c r="T196" s="349"/>
    </row>
    <row r="197" spans="19:20" ht="15.75" customHeight="1" x14ac:dyDescent="0.3">
      <c r="S197" s="348"/>
      <c r="T197" s="349"/>
    </row>
    <row r="198" spans="19:20" ht="15.75" customHeight="1" thickBot="1" x14ac:dyDescent="0.35">
      <c r="S198" s="350"/>
      <c r="T198" s="351"/>
    </row>
  </sheetData>
  <dataConsolidate/>
  <mergeCells count="268">
    <mergeCell ref="F81:H81"/>
    <mergeCell ref="C82:E82"/>
    <mergeCell ref="F82:H82"/>
    <mergeCell ref="F89:H89"/>
    <mergeCell ref="F85:H85"/>
    <mergeCell ref="F83:H83"/>
    <mergeCell ref="C85:E85"/>
    <mergeCell ref="B67:B82"/>
    <mergeCell ref="C67:E67"/>
    <mergeCell ref="A83:B84"/>
    <mergeCell ref="C79:D80"/>
    <mergeCell ref="F79:H79"/>
    <mergeCell ref="K167:O167"/>
    <mergeCell ref="B110:K110"/>
    <mergeCell ref="C113:E113"/>
    <mergeCell ref="F93:H93"/>
    <mergeCell ref="C94:E94"/>
    <mergeCell ref="C115:E115"/>
    <mergeCell ref="C150:E150"/>
    <mergeCell ref="F151:H151"/>
    <mergeCell ref="O133:O139"/>
    <mergeCell ref="F129:H129"/>
    <mergeCell ref="F130:H130"/>
    <mergeCell ref="F131:H131"/>
    <mergeCell ref="F139:H139"/>
    <mergeCell ref="C121:E121"/>
    <mergeCell ref="C122:E122"/>
    <mergeCell ref="C123:E123"/>
    <mergeCell ref="C125:E125"/>
    <mergeCell ref="F125:H125"/>
    <mergeCell ref="O151:O153"/>
    <mergeCell ref="C145:E145"/>
    <mergeCell ref="C146:D146"/>
    <mergeCell ref="F146:H146"/>
    <mergeCell ref="B147:K147"/>
    <mergeCell ref="F94:H94"/>
    <mergeCell ref="S159:T159"/>
    <mergeCell ref="S160:T198"/>
    <mergeCell ref="C127:E131"/>
    <mergeCell ref="O127:O131"/>
    <mergeCell ref="F134:H134"/>
    <mergeCell ref="F135:H135"/>
    <mergeCell ref="F136:H136"/>
    <mergeCell ref="F138:H138"/>
    <mergeCell ref="F128:H128"/>
    <mergeCell ref="F127:H127"/>
    <mergeCell ref="F133:H133"/>
    <mergeCell ref="C133:E139"/>
    <mergeCell ref="K161:O161"/>
    <mergeCell ref="K162:O162"/>
    <mergeCell ref="K163:O163"/>
    <mergeCell ref="K164:O164"/>
    <mergeCell ref="K165:O165"/>
    <mergeCell ref="H165:H166"/>
    <mergeCell ref="K166:O166"/>
    <mergeCell ref="F142:H142"/>
    <mergeCell ref="F141:H141"/>
    <mergeCell ref="B140:K140"/>
    <mergeCell ref="G163:G164"/>
    <mergeCell ref="F132:H132"/>
    <mergeCell ref="I173:J173"/>
    <mergeCell ref="G161:G162"/>
    <mergeCell ref="F153:H153"/>
    <mergeCell ref="F154:H154"/>
    <mergeCell ref="H161:H162"/>
    <mergeCell ref="H163:H164"/>
    <mergeCell ref="G167:G168"/>
    <mergeCell ref="K171:O171"/>
    <mergeCell ref="K172:O172"/>
    <mergeCell ref="G171:G172"/>
    <mergeCell ref="H171:H172"/>
    <mergeCell ref="I171:J172"/>
    <mergeCell ref="K168:O168"/>
    <mergeCell ref="I161:J162"/>
    <mergeCell ref="I163:J164"/>
    <mergeCell ref="H167:H168"/>
    <mergeCell ref="G169:G170"/>
    <mergeCell ref="H169:H170"/>
    <mergeCell ref="I169:J170"/>
    <mergeCell ref="K169:O169"/>
    <mergeCell ref="K170:O170"/>
    <mergeCell ref="I167:J168"/>
    <mergeCell ref="G165:G166"/>
    <mergeCell ref="B155:K155"/>
    <mergeCell ref="O60:O62"/>
    <mergeCell ref="F115:H115"/>
    <mergeCell ref="B12:C12"/>
    <mergeCell ref="B151:B154"/>
    <mergeCell ref="C151:D154"/>
    <mergeCell ref="F137:H137"/>
    <mergeCell ref="C132:E132"/>
    <mergeCell ref="B117:K117"/>
    <mergeCell ref="C120:E120"/>
    <mergeCell ref="B121:B139"/>
    <mergeCell ref="F126:H126"/>
    <mergeCell ref="F124:H124"/>
    <mergeCell ref="C86:E86"/>
    <mergeCell ref="B90:B100"/>
    <mergeCell ref="C66:E66"/>
    <mergeCell ref="C68:E68"/>
    <mergeCell ref="F68:H68"/>
    <mergeCell ref="C20:E20"/>
    <mergeCell ref="F21:H21"/>
    <mergeCell ref="C21:D23"/>
    <mergeCell ref="C93:E93"/>
    <mergeCell ref="C91:E91"/>
    <mergeCell ref="F102:H102"/>
    <mergeCell ref="C107:E107"/>
    <mergeCell ref="B31:B36"/>
    <mergeCell ref="B21:B23"/>
    <mergeCell ref="C46:D46"/>
    <mergeCell ref="F33:H33"/>
    <mergeCell ref="B14:C14"/>
    <mergeCell ref="J12:O12"/>
    <mergeCell ref="B13:C13"/>
    <mergeCell ref="F23:H23"/>
    <mergeCell ref="B15:C15"/>
    <mergeCell ref="F37:H37"/>
    <mergeCell ref="C25:D25"/>
    <mergeCell ref="C31:D31"/>
    <mergeCell ref="F32:H32"/>
    <mergeCell ref="F28:H28"/>
    <mergeCell ref="F29:H29"/>
    <mergeCell ref="F31:H31"/>
    <mergeCell ref="C26:D30"/>
    <mergeCell ref="F34:H34"/>
    <mergeCell ref="F35:H35"/>
    <mergeCell ref="F44:H44"/>
    <mergeCell ref="B37:B44"/>
    <mergeCell ref="C38:D44"/>
    <mergeCell ref="C24:E24"/>
    <mergeCell ref="F24:H24"/>
    <mergeCell ref="B3:O3"/>
    <mergeCell ref="B5:C5"/>
    <mergeCell ref="B6:C6"/>
    <mergeCell ref="B7:C7"/>
    <mergeCell ref="B8:C8"/>
    <mergeCell ref="B9:C9"/>
    <mergeCell ref="J5:O5"/>
    <mergeCell ref="J6:O7"/>
    <mergeCell ref="I6:I7"/>
    <mergeCell ref="J8:O8"/>
    <mergeCell ref="J9:O9"/>
    <mergeCell ref="D5:G5"/>
    <mergeCell ref="D6:F6"/>
    <mergeCell ref="D7:G7"/>
    <mergeCell ref="D8:G8"/>
    <mergeCell ref="D9:G9"/>
    <mergeCell ref="F47:H47"/>
    <mergeCell ref="F38:H38"/>
    <mergeCell ref="F41:H41"/>
    <mergeCell ref="F42:H42"/>
    <mergeCell ref="F43:H43"/>
    <mergeCell ref="F39:H39"/>
    <mergeCell ref="B25:B30"/>
    <mergeCell ref="F22:H22"/>
    <mergeCell ref="S16:S18"/>
    <mergeCell ref="C45:D45"/>
    <mergeCell ref="F45:H45"/>
    <mergeCell ref="F36:H36"/>
    <mergeCell ref="C32:D36"/>
    <mergeCell ref="B16:C16"/>
    <mergeCell ref="B17:C17"/>
    <mergeCell ref="F30:H30"/>
    <mergeCell ref="F27:H27"/>
    <mergeCell ref="F26:H26"/>
    <mergeCell ref="F25:H25"/>
    <mergeCell ref="F46:H46"/>
    <mergeCell ref="F40:H40"/>
    <mergeCell ref="B46:B47"/>
    <mergeCell ref="C47:D47"/>
    <mergeCell ref="C37:D37"/>
    <mergeCell ref="F52:H52"/>
    <mergeCell ref="F107:H107"/>
    <mergeCell ref="C108:E108"/>
    <mergeCell ref="F108:H108"/>
    <mergeCell ref="C95:E95"/>
    <mergeCell ref="C100:E100"/>
    <mergeCell ref="F100:H100"/>
    <mergeCell ref="F97:H97"/>
    <mergeCell ref="C97:E97"/>
    <mergeCell ref="F57:H57"/>
    <mergeCell ref="B63:K63"/>
    <mergeCell ref="F58:H58"/>
    <mergeCell ref="F60:H60"/>
    <mergeCell ref="F55:H55"/>
    <mergeCell ref="F59:H59"/>
    <mergeCell ref="E60:E62"/>
    <mergeCell ref="F92:H92"/>
    <mergeCell ref="C101:E101"/>
    <mergeCell ref="F101:H101"/>
    <mergeCell ref="F96:H96"/>
    <mergeCell ref="C102:E102"/>
    <mergeCell ref="C98:E98"/>
    <mergeCell ref="F75:H75"/>
    <mergeCell ref="C77:D78"/>
    <mergeCell ref="F91:H91"/>
    <mergeCell ref="C92:E92"/>
    <mergeCell ref="B114:B115"/>
    <mergeCell ref="C114:E114"/>
    <mergeCell ref="F98:H98"/>
    <mergeCell ref="F69:H69"/>
    <mergeCell ref="F70:H70"/>
    <mergeCell ref="F71:H71"/>
    <mergeCell ref="F72:H72"/>
    <mergeCell ref="C69:D72"/>
    <mergeCell ref="F77:H77"/>
    <mergeCell ref="F90:H90"/>
    <mergeCell ref="C90:E90"/>
    <mergeCell ref="F84:H84"/>
    <mergeCell ref="C83:D84"/>
    <mergeCell ref="B86:B89"/>
    <mergeCell ref="C73:D74"/>
    <mergeCell ref="F86:H86"/>
    <mergeCell ref="C87:E87"/>
    <mergeCell ref="F87:H87"/>
    <mergeCell ref="C88:E88"/>
    <mergeCell ref="F88:H88"/>
    <mergeCell ref="C89:E89"/>
    <mergeCell ref="C81:E81"/>
    <mergeCell ref="F116:H116"/>
    <mergeCell ref="C103:E103"/>
    <mergeCell ref="B105:B108"/>
    <mergeCell ref="C106:E106"/>
    <mergeCell ref="C99:E99"/>
    <mergeCell ref="F99:H99"/>
    <mergeCell ref="C48:D48"/>
    <mergeCell ref="F48:H48"/>
    <mergeCell ref="C50:D51"/>
    <mergeCell ref="C52:D52"/>
    <mergeCell ref="F73:H73"/>
    <mergeCell ref="F62:H62"/>
    <mergeCell ref="F51:H51"/>
    <mergeCell ref="B49:B51"/>
    <mergeCell ref="F61:H61"/>
    <mergeCell ref="F56:H56"/>
    <mergeCell ref="F50:H50"/>
    <mergeCell ref="C49:D49"/>
    <mergeCell ref="F49:H49"/>
    <mergeCell ref="F53:H53"/>
    <mergeCell ref="F67:H67"/>
    <mergeCell ref="C75:D76"/>
    <mergeCell ref="F95:H95"/>
    <mergeCell ref="F106:H106"/>
    <mergeCell ref="C104:E104"/>
    <mergeCell ref="F104:H104"/>
    <mergeCell ref="O53:O54"/>
    <mergeCell ref="F54:H54"/>
    <mergeCell ref="C53:D62"/>
    <mergeCell ref="B53:B62"/>
    <mergeCell ref="F152:H152"/>
    <mergeCell ref="B143:K143"/>
    <mergeCell ref="I165:J166"/>
    <mergeCell ref="F121:H121"/>
    <mergeCell ref="F122:H122"/>
    <mergeCell ref="F123:H123"/>
    <mergeCell ref="C124:E124"/>
    <mergeCell ref="C126:D126"/>
    <mergeCell ref="C141:E141"/>
    <mergeCell ref="B141:B142"/>
    <mergeCell ref="C142:E142"/>
    <mergeCell ref="C116:E116"/>
    <mergeCell ref="B101:B103"/>
    <mergeCell ref="C96:E96"/>
    <mergeCell ref="F114:H114"/>
    <mergeCell ref="B109:K109"/>
    <mergeCell ref="C105:E105"/>
    <mergeCell ref="F105:H105"/>
  </mergeCells>
  <phoneticPr fontId="0" type="Hiragana"/>
  <conditionalFormatting sqref="J26 L26">
    <cfRule type="expression" dxfId="37" priority="52">
      <formula>AND($J$26&gt;0,$J$55=0)</formula>
    </cfRule>
  </conditionalFormatting>
  <conditionalFormatting sqref="O26">
    <cfRule type="expression" dxfId="36" priority="51">
      <formula>$O$26&lt;&gt;""</formula>
    </cfRule>
  </conditionalFormatting>
  <conditionalFormatting sqref="O37">
    <cfRule type="expression" dxfId="35" priority="49">
      <formula>$O$37&lt;&gt;""</formula>
    </cfRule>
  </conditionalFormatting>
  <conditionalFormatting sqref="J36 L36">
    <cfRule type="expression" dxfId="34" priority="48">
      <formula>AND($J$36&gt;0,$J$55=0)</formula>
    </cfRule>
  </conditionalFormatting>
  <conditionalFormatting sqref="O36">
    <cfRule type="expression" dxfId="33" priority="47">
      <formula>$O$36&lt;&gt;""</formula>
    </cfRule>
  </conditionalFormatting>
  <conditionalFormatting sqref="O45">
    <cfRule type="expression" dxfId="32" priority="45">
      <formula>$O$45&lt;&gt;""</formula>
    </cfRule>
  </conditionalFormatting>
  <conditionalFormatting sqref="J69 L69">
    <cfRule type="expression" dxfId="31" priority="44">
      <formula>AND($J$69&gt;0,$J$70=0)</formula>
    </cfRule>
  </conditionalFormatting>
  <conditionalFormatting sqref="J70 L70">
    <cfRule type="expression" dxfId="30" priority="42">
      <formula>AND($J$70&gt;0,$J$69=0)</formula>
    </cfRule>
  </conditionalFormatting>
  <conditionalFormatting sqref="J71 L71">
    <cfRule type="expression" dxfId="29" priority="40">
      <formula>AND($J$71&gt;0,$J$72=0)</formula>
    </cfRule>
  </conditionalFormatting>
  <conditionalFormatting sqref="J72 L72">
    <cfRule type="expression" dxfId="28" priority="38">
      <formula>AND($J$72&gt;0,$J$71=0)</formula>
    </cfRule>
  </conditionalFormatting>
  <conditionalFormatting sqref="J73 L73">
    <cfRule type="expression" dxfId="27" priority="36">
      <formula>AND($J$73&gt;0,$J$74=0)</formula>
    </cfRule>
  </conditionalFormatting>
  <conditionalFormatting sqref="J74 L74">
    <cfRule type="expression" dxfId="26" priority="34">
      <formula>AND($J$74&gt;0,$J$73=0)</formula>
    </cfRule>
  </conditionalFormatting>
  <conditionalFormatting sqref="O69">
    <cfRule type="expression" dxfId="25" priority="30">
      <formula>$O$69&lt;&gt;""</formula>
    </cfRule>
  </conditionalFormatting>
  <conditionalFormatting sqref="O70">
    <cfRule type="expression" dxfId="24" priority="29">
      <formula>$O$70&lt;&gt;""</formula>
    </cfRule>
  </conditionalFormatting>
  <conditionalFormatting sqref="O71">
    <cfRule type="expression" dxfId="23" priority="28">
      <formula>$O$71&lt;&gt;""</formula>
    </cfRule>
  </conditionalFormatting>
  <conditionalFormatting sqref="O72">
    <cfRule type="expression" dxfId="22" priority="27">
      <formula>$O$72&lt;&gt;""</formula>
    </cfRule>
  </conditionalFormatting>
  <conditionalFormatting sqref="O73">
    <cfRule type="expression" dxfId="21" priority="26">
      <formula>$O$73&lt;&gt;""</formula>
    </cfRule>
  </conditionalFormatting>
  <conditionalFormatting sqref="O74">
    <cfRule type="expression" dxfId="20" priority="25">
      <formula>$O$74&lt;&gt;""</formula>
    </cfRule>
  </conditionalFormatting>
  <conditionalFormatting sqref="O81">
    <cfRule type="expression" dxfId="19" priority="24">
      <formula>$O$81&lt;&gt;""</formula>
    </cfRule>
  </conditionalFormatting>
  <conditionalFormatting sqref="O82">
    <cfRule type="expression" dxfId="18" priority="23">
      <formula>$O$82&lt;&gt;""</formula>
    </cfRule>
  </conditionalFormatting>
  <conditionalFormatting sqref="J141 L141">
    <cfRule type="expression" dxfId="17" priority="21">
      <formula>AND(J141&gt;0,J31=0)</formula>
    </cfRule>
  </conditionalFormatting>
  <conditionalFormatting sqref="O141">
    <cfRule type="expression" dxfId="16" priority="19">
      <formula>AND($J$141&gt;0,$J$31=0)</formula>
    </cfRule>
  </conditionalFormatting>
  <conditionalFormatting sqref="J45 L45">
    <cfRule type="expression" dxfId="15" priority="16">
      <formula>AND(J45&gt;0,OR(J37=0,J25=0))</formula>
    </cfRule>
  </conditionalFormatting>
  <conditionalFormatting sqref="J37 L37">
    <cfRule type="expression" dxfId="14" priority="15">
      <formula>AND($J$37&gt;0,$J$25=0)</formula>
    </cfRule>
  </conditionalFormatting>
  <conditionalFormatting sqref="J124 L124 O124">
    <cfRule type="expression" dxfId="13" priority="14">
      <formula>$J$124&gt;20</formula>
    </cfRule>
  </conditionalFormatting>
  <conditionalFormatting sqref="J125 L125 O125">
    <cfRule type="expression" dxfId="12" priority="13">
      <formula>AND($J$125&gt;0,$J$57=0)</formula>
    </cfRule>
  </conditionalFormatting>
  <conditionalFormatting sqref="J75 L75">
    <cfRule type="expression" dxfId="11" priority="12">
      <formula>AND($J$75&gt;0,$J$76=0)</formula>
    </cfRule>
  </conditionalFormatting>
  <conditionalFormatting sqref="O75">
    <cfRule type="expression" dxfId="10" priority="11">
      <formula>$O$75&lt;&gt;""</formula>
    </cfRule>
  </conditionalFormatting>
  <conditionalFormatting sqref="J76 L76">
    <cfRule type="expression" dxfId="9" priority="10">
      <formula>AND($J$76&gt;0,$J$75=0)</formula>
    </cfRule>
  </conditionalFormatting>
  <conditionalFormatting sqref="O76">
    <cfRule type="expression" dxfId="8" priority="9">
      <formula>$O$76&lt;&gt;""</formula>
    </cfRule>
  </conditionalFormatting>
  <conditionalFormatting sqref="J77 L77">
    <cfRule type="expression" dxfId="7" priority="8">
      <formula>AND($J$77&gt;0,$J$78=0)</formula>
    </cfRule>
  </conditionalFormatting>
  <conditionalFormatting sqref="O77">
    <cfRule type="expression" dxfId="6" priority="7">
      <formula>$O$77&lt;&gt;""</formula>
    </cfRule>
  </conditionalFormatting>
  <conditionalFormatting sqref="J78 L78">
    <cfRule type="expression" dxfId="5" priority="6">
      <formula>AND($J$78&gt;0,$J$77=0)</formula>
    </cfRule>
  </conditionalFormatting>
  <conditionalFormatting sqref="O78">
    <cfRule type="expression" dxfId="4" priority="5">
      <formula>$O$78&lt;&gt;""</formula>
    </cfRule>
  </conditionalFormatting>
  <conditionalFormatting sqref="J79 L79">
    <cfRule type="expression" dxfId="3" priority="4">
      <formula>AND($J$79&gt;0,$J$80=0)</formula>
    </cfRule>
  </conditionalFormatting>
  <conditionalFormatting sqref="O79">
    <cfRule type="expression" dxfId="2" priority="3">
      <formula>$O$79&lt;&gt;""</formula>
    </cfRule>
  </conditionalFormatting>
  <conditionalFormatting sqref="J80 L80">
    <cfRule type="expression" dxfId="1" priority="2">
      <formula>AND($J$80&gt;0,$J$79=0)</formula>
    </cfRule>
  </conditionalFormatting>
  <conditionalFormatting sqref="O80">
    <cfRule type="expression" dxfId="0" priority="1">
      <formula>$O$80&lt;&gt;""</formula>
    </cfRule>
  </conditionalFormatting>
  <dataValidations count="1">
    <dataValidation type="list" allowBlank="1" showInputMessage="1" showErrorMessage="1" sqref="C1:E1 G1">
      <formula1>#REF!</formula1>
    </dataValidation>
  </dataValidations>
  <printOptions horizontalCentered="1"/>
  <pageMargins left="0.25" right="0.25" top="0.75" bottom="0.75" header="0.3" footer="0.3"/>
  <pageSetup paperSize="9" scale="36" fitToHeight="0" orientation="portrait" r:id="rId1"/>
  <rowBreaks count="2" manualBreakCount="2">
    <brk id="43" max="16" man="1"/>
    <brk id="87" max="16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마케팅!$E$11:$E$12</xm:f>
          </x14:formula1>
          <xm:sqref>F142:H142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opLeftCell="A29" zoomScale="85" zoomScaleNormal="85" workbookViewId="0">
      <selection activeCell="G40" sqref="G40"/>
    </sheetView>
  </sheetViews>
  <sheetFormatPr defaultRowHeight="16.5" x14ac:dyDescent="0.3"/>
  <cols>
    <col min="4" max="4" width="23.5" customWidth="1"/>
    <col min="5" max="5" width="14" customWidth="1"/>
    <col min="6" max="6" width="38.625" customWidth="1"/>
    <col min="7" max="7" width="21" customWidth="1"/>
    <col min="8" max="8" width="20.375" customWidth="1"/>
    <col min="9" max="9" width="61.375" customWidth="1"/>
  </cols>
  <sheetData>
    <row r="1" spans="1:9" ht="28.5" customHeight="1" x14ac:dyDescent="0.3">
      <c r="A1" s="399" t="s">
        <v>260</v>
      </c>
      <c r="B1" s="383" t="s">
        <v>261</v>
      </c>
      <c r="C1" s="383"/>
      <c r="D1" s="383"/>
      <c r="E1" s="383" t="s">
        <v>280</v>
      </c>
      <c r="F1" s="384"/>
      <c r="G1" s="387" t="s">
        <v>281</v>
      </c>
      <c r="H1" s="388"/>
      <c r="I1" s="389" t="s">
        <v>282</v>
      </c>
    </row>
    <row r="2" spans="1:9" ht="39" customHeight="1" thickBot="1" x14ac:dyDescent="0.35">
      <c r="A2" s="400"/>
      <c r="B2" s="385"/>
      <c r="C2" s="385"/>
      <c r="D2" s="385"/>
      <c r="E2" s="385"/>
      <c r="F2" s="386"/>
      <c r="G2" s="147" t="s">
        <v>283</v>
      </c>
      <c r="H2" s="148" t="s">
        <v>548</v>
      </c>
      <c r="I2" s="390"/>
    </row>
    <row r="3" spans="1:9" ht="36" customHeight="1" thickBot="1" x14ac:dyDescent="0.35">
      <c r="A3" s="405" t="s">
        <v>262</v>
      </c>
      <c r="B3" s="401" t="s">
        <v>570</v>
      </c>
      <c r="C3" s="402"/>
      <c r="D3" s="403"/>
      <c r="E3" s="375" t="s">
        <v>284</v>
      </c>
      <c r="F3" s="376"/>
      <c r="G3" s="149">
        <v>1000000</v>
      </c>
      <c r="H3" s="150">
        <v>2000000</v>
      </c>
      <c r="I3" s="155"/>
    </row>
    <row r="4" spans="1:9" ht="36" customHeight="1" thickBot="1" x14ac:dyDescent="0.35">
      <c r="A4" s="369"/>
      <c r="B4" s="372" t="s">
        <v>263</v>
      </c>
      <c r="C4" s="374"/>
      <c r="D4" s="151" t="s">
        <v>264</v>
      </c>
      <c r="E4" s="375" t="s">
        <v>285</v>
      </c>
      <c r="F4" s="376"/>
      <c r="G4" s="149">
        <v>1000000</v>
      </c>
      <c r="H4" s="152">
        <v>2000000</v>
      </c>
      <c r="I4" s="155"/>
    </row>
    <row r="5" spans="1:9" ht="36" customHeight="1" thickBot="1" x14ac:dyDescent="0.35">
      <c r="A5" s="369"/>
      <c r="B5" s="372" t="s">
        <v>265</v>
      </c>
      <c r="C5" s="374"/>
      <c r="D5" s="151" t="s">
        <v>266</v>
      </c>
      <c r="E5" s="375" t="s">
        <v>286</v>
      </c>
      <c r="F5" s="376"/>
      <c r="G5" s="149">
        <v>500000</v>
      </c>
      <c r="H5" s="152">
        <v>1000000</v>
      </c>
      <c r="I5" s="155"/>
    </row>
    <row r="6" spans="1:9" ht="36" customHeight="1" thickBot="1" x14ac:dyDescent="0.35">
      <c r="A6" s="369"/>
      <c r="B6" s="404"/>
      <c r="C6" s="370"/>
      <c r="D6" s="151" t="s">
        <v>267</v>
      </c>
      <c r="E6" s="375" t="s">
        <v>287</v>
      </c>
      <c r="F6" s="376"/>
      <c r="G6" s="149">
        <v>1000000</v>
      </c>
      <c r="H6" s="152">
        <v>2000000</v>
      </c>
      <c r="I6" s="155"/>
    </row>
    <row r="7" spans="1:9" ht="36" customHeight="1" thickBot="1" x14ac:dyDescent="0.35">
      <c r="A7" s="369"/>
      <c r="B7" s="372" t="s">
        <v>537</v>
      </c>
      <c r="C7" s="374"/>
      <c r="D7" s="151" t="s">
        <v>538</v>
      </c>
      <c r="E7" s="375" t="s">
        <v>286</v>
      </c>
      <c r="F7" s="376"/>
      <c r="G7" s="149">
        <v>500000</v>
      </c>
      <c r="H7" s="152">
        <v>1000000</v>
      </c>
      <c r="I7" s="155"/>
    </row>
    <row r="8" spans="1:9" ht="36" customHeight="1" thickBot="1" x14ac:dyDescent="0.35">
      <c r="A8" s="369"/>
      <c r="B8" s="372" t="s">
        <v>268</v>
      </c>
      <c r="C8" s="374"/>
      <c r="D8" s="151" t="s">
        <v>269</v>
      </c>
      <c r="E8" s="375" t="s">
        <v>285</v>
      </c>
      <c r="F8" s="376"/>
      <c r="G8" s="149">
        <v>1000000</v>
      </c>
      <c r="H8" s="152">
        <v>2000000</v>
      </c>
      <c r="I8" s="155"/>
    </row>
    <row r="9" spans="1:9" ht="36" customHeight="1" thickBot="1" x14ac:dyDescent="0.35">
      <c r="A9" s="369"/>
      <c r="B9" s="404"/>
      <c r="C9" s="370"/>
      <c r="D9" s="151" t="s">
        <v>549</v>
      </c>
      <c r="E9" s="375" t="s">
        <v>550</v>
      </c>
      <c r="F9" s="376"/>
      <c r="G9" s="149">
        <v>1000000</v>
      </c>
      <c r="H9" s="152">
        <v>2000000</v>
      </c>
      <c r="I9" s="155"/>
    </row>
    <row r="10" spans="1:9" ht="36" customHeight="1" thickBot="1" x14ac:dyDescent="0.35">
      <c r="A10" s="369"/>
      <c r="B10" s="406" t="s">
        <v>551</v>
      </c>
      <c r="C10" s="407"/>
      <c r="D10" s="408"/>
      <c r="E10" s="375" t="s">
        <v>284</v>
      </c>
      <c r="F10" s="376"/>
      <c r="G10" s="149">
        <v>1000000</v>
      </c>
      <c r="H10" s="152">
        <v>2000000</v>
      </c>
      <c r="I10" s="156" t="s">
        <v>552</v>
      </c>
    </row>
    <row r="11" spans="1:9" ht="36" customHeight="1" thickBot="1" x14ac:dyDescent="0.35">
      <c r="A11" s="369"/>
      <c r="B11" s="372" t="s">
        <v>270</v>
      </c>
      <c r="C11" s="374"/>
      <c r="D11" s="151" t="s">
        <v>271</v>
      </c>
      <c r="E11" s="375" t="s">
        <v>285</v>
      </c>
      <c r="F11" s="376"/>
      <c r="G11" s="149">
        <v>1000000</v>
      </c>
      <c r="H11" s="152">
        <v>2000000</v>
      </c>
      <c r="I11" s="155" t="s">
        <v>288</v>
      </c>
    </row>
    <row r="12" spans="1:9" ht="36" customHeight="1" thickBot="1" x14ac:dyDescent="0.35">
      <c r="A12" s="369"/>
      <c r="B12" s="404"/>
      <c r="C12" s="370"/>
      <c r="D12" s="151" t="s">
        <v>272</v>
      </c>
      <c r="E12" s="375" t="s">
        <v>285</v>
      </c>
      <c r="F12" s="376"/>
      <c r="G12" s="149">
        <v>1000000</v>
      </c>
      <c r="H12" s="152">
        <v>2000000</v>
      </c>
      <c r="I12" s="155" t="s">
        <v>289</v>
      </c>
    </row>
    <row r="13" spans="1:9" ht="36" customHeight="1" thickBot="1" x14ac:dyDescent="0.35">
      <c r="A13" s="369"/>
      <c r="B13" s="404"/>
      <c r="C13" s="370"/>
      <c r="D13" s="151" t="s">
        <v>273</v>
      </c>
      <c r="E13" s="375" t="s">
        <v>290</v>
      </c>
      <c r="F13" s="376"/>
      <c r="G13" s="149">
        <v>500000</v>
      </c>
      <c r="H13" s="152">
        <v>1000000</v>
      </c>
      <c r="I13" s="155"/>
    </row>
    <row r="14" spans="1:9" ht="36" customHeight="1" thickBot="1" x14ac:dyDescent="0.35">
      <c r="A14" s="369"/>
      <c r="B14" s="404"/>
      <c r="C14" s="370"/>
      <c r="D14" s="151" t="s">
        <v>274</v>
      </c>
      <c r="E14" s="375" t="s">
        <v>290</v>
      </c>
      <c r="F14" s="376"/>
      <c r="G14" s="149">
        <v>500000</v>
      </c>
      <c r="H14" s="152">
        <v>1000000</v>
      </c>
      <c r="I14" s="155"/>
    </row>
    <row r="15" spans="1:9" ht="36" customHeight="1" thickBot="1" x14ac:dyDescent="0.35">
      <c r="A15" s="369"/>
      <c r="B15" s="404"/>
      <c r="C15" s="370"/>
      <c r="D15" s="151" t="s">
        <v>553</v>
      </c>
      <c r="E15" s="375" t="s">
        <v>291</v>
      </c>
      <c r="F15" s="376"/>
      <c r="G15" s="149" t="s">
        <v>571</v>
      </c>
      <c r="H15" s="152">
        <v>2000000</v>
      </c>
      <c r="I15" s="157" t="s">
        <v>539</v>
      </c>
    </row>
    <row r="16" spans="1:9" ht="36" customHeight="1" thickBot="1" x14ac:dyDescent="0.35">
      <c r="A16" s="369"/>
      <c r="B16" s="404"/>
      <c r="C16" s="370"/>
      <c r="D16" s="151" t="s">
        <v>540</v>
      </c>
      <c r="E16" s="375" t="s">
        <v>290</v>
      </c>
      <c r="F16" s="376"/>
      <c r="G16" s="149">
        <v>500000</v>
      </c>
      <c r="H16" s="152">
        <v>1000000</v>
      </c>
      <c r="I16" s="157" t="s">
        <v>292</v>
      </c>
    </row>
    <row r="17" spans="1:9" ht="36" customHeight="1" thickBot="1" x14ac:dyDescent="0.35">
      <c r="A17" s="369"/>
      <c r="B17" s="406" t="s">
        <v>541</v>
      </c>
      <c r="C17" s="407"/>
      <c r="D17" s="408"/>
      <c r="E17" s="375" t="s">
        <v>284</v>
      </c>
      <c r="F17" s="376"/>
      <c r="G17" s="153">
        <v>1000000</v>
      </c>
      <c r="H17" s="154">
        <v>2000000</v>
      </c>
      <c r="I17" s="156" t="s">
        <v>552</v>
      </c>
    </row>
    <row r="18" spans="1:9" ht="36" customHeight="1" thickBot="1" x14ac:dyDescent="0.35">
      <c r="A18" s="369"/>
      <c r="B18" s="372" t="s">
        <v>275</v>
      </c>
      <c r="C18" s="374"/>
      <c r="D18" s="151" t="s">
        <v>276</v>
      </c>
      <c r="E18" s="375" t="s">
        <v>285</v>
      </c>
      <c r="F18" s="376"/>
      <c r="G18" s="149">
        <v>1000000</v>
      </c>
      <c r="H18" s="152">
        <v>2000000</v>
      </c>
      <c r="I18" s="155"/>
    </row>
    <row r="19" spans="1:9" ht="36" customHeight="1" thickBot="1" x14ac:dyDescent="0.35">
      <c r="A19" s="369"/>
      <c r="B19" s="404"/>
      <c r="C19" s="370"/>
      <c r="D19" s="151" t="s">
        <v>277</v>
      </c>
      <c r="E19" s="375" t="s">
        <v>290</v>
      </c>
      <c r="F19" s="376"/>
      <c r="G19" s="149">
        <v>500000</v>
      </c>
      <c r="H19" s="152">
        <v>1000000</v>
      </c>
      <c r="I19" s="155"/>
    </row>
    <row r="20" spans="1:9" ht="36" customHeight="1" thickBot="1" x14ac:dyDescent="0.35">
      <c r="A20" s="369"/>
      <c r="B20" s="404"/>
      <c r="C20" s="370"/>
      <c r="D20" s="151" t="s">
        <v>278</v>
      </c>
      <c r="E20" s="375" t="s">
        <v>290</v>
      </c>
      <c r="F20" s="376"/>
      <c r="G20" s="149">
        <v>500000</v>
      </c>
      <c r="H20" s="152">
        <v>1000000</v>
      </c>
      <c r="I20" s="155"/>
    </row>
    <row r="21" spans="1:9" ht="36" customHeight="1" thickBot="1" x14ac:dyDescent="0.35">
      <c r="A21" s="369" t="s">
        <v>572</v>
      </c>
      <c r="B21" s="404" t="s">
        <v>573</v>
      </c>
      <c r="C21" s="370"/>
      <c r="D21" s="151" t="s">
        <v>574</v>
      </c>
      <c r="E21" s="375" t="s">
        <v>575</v>
      </c>
      <c r="F21" s="376"/>
      <c r="G21" s="149">
        <v>2000000</v>
      </c>
      <c r="H21" s="152">
        <v>4000000</v>
      </c>
      <c r="I21" s="155"/>
    </row>
    <row r="22" spans="1:9" ht="36" customHeight="1" thickBot="1" x14ac:dyDescent="0.35">
      <c r="A22" s="369"/>
      <c r="B22" s="411"/>
      <c r="C22" s="412"/>
      <c r="D22" s="151" t="s">
        <v>576</v>
      </c>
      <c r="E22" s="375" t="s">
        <v>577</v>
      </c>
      <c r="F22" s="376"/>
      <c r="G22" s="149">
        <v>1000000</v>
      </c>
      <c r="H22" s="152">
        <v>2000000</v>
      </c>
      <c r="I22" s="155"/>
    </row>
    <row r="23" spans="1:9" ht="36" customHeight="1" thickBot="1" x14ac:dyDescent="0.35">
      <c r="A23" s="369"/>
      <c r="B23" s="372" t="s">
        <v>279</v>
      </c>
      <c r="C23" s="373"/>
      <c r="D23" s="151" t="s">
        <v>555</v>
      </c>
      <c r="E23" s="375" t="s">
        <v>291</v>
      </c>
      <c r="F23" s="376"/>
      <c r="G23" s="149">
        <v>1000000</v>
      </c>
      <c r="H23" s="152">
        <v>2000000</v>
      </c>
      <c r="I23" s="155"/>
    </row>
    <row r="24" spans="1:9" ht="36" customHeight="1" thickBot="1" x14ac:dyDescent="0.35">
      <c r="A24" s="369"/>
      <c r="B24" s="411"/>
      <c r="C24" s="413"/>
      <c r="D24" s="230" t="s">
        <v>578</v>
      </c>
      <c r="E24" s="375" t="s">
        <v>579</v>
      </c>
      <c r="F24" s="376"/>
      <c r="G24" s="149">
        <v>2000000</v>
      </c>
      <c r="H24" s="152">
        <v>4000000</v>
      </c>
      <c r="I24" s="155"/>
    </row>
    <row r="25" spans="1:9" ht="36" customHeight="1" thickBot="1" x14ac:dyDescent="0.35">
      <c r="A25" s="369"/>
      <c r="B25" s="372" t="s">
        <v>542</v>
      </c>
      <c r="C25" s="373"/>
      <c r="D25" s="374"/>
      <c r="E25" s="375" t="s">
        <v>543</v>
      </c>
      <c r="F25" s="376"/>
      <c r="G25" s="149" t="s">
        <v>571</v>
      </c>
      <c r="H25" s="152">
        <v>4000000</v>
      </c>
      <c r="I25" s="155"/>
    </row>
    <row r="26" spans="1:9" ht="38.25" customHeight="1" thickBot="1" x14ac:dyDescent="0.35">
      <c r="A26" s="369"/>
      <c r="B26" s="396" t="s">
        <v>556</v>
      </c>
      <c r="C26" s="397"/>
      <c r="D26" s="398"/>
      <c r="E26" s="375" t="s">
        <v>557</v>
      </c>
      <c r="F26" s="376"/>
      <c r="G26" s="149" t="s">
        <v>571</v>
      </c>
      <c r="H26" s="152">
        <v>3000000</v>
      </c>
      <c r="I26" s="156" t="s">
        <v>580</v>
      </c>
    </row>
    <row r="27" spans="1:9" ht="38.25" customHeight="1" thickBot="1" x14ac:dyDescent="0.35">
      <c r="A27" s="369" t="s">
        <v>558</v>
      </c>
      <c r="B27" s="393" t="s">
        <v>581</v>
      </c>
      <c r="C27" s="394"/>
      <c r="D27" s="395"/>
      <c r="E27" s="381" t="s">
        <v>582</v>
      </c>
      <c r="F27" s="382"/>
      <c r="G27" s="178">
        <v>1000000</v>
      </c>
      <c r="H27" s="179">
        <v>2000000</v>
      </c>
      <c r="I27" s="409" t="s">
        <v>559</v>
      </c>
    </row>
    <row r="28" spans="1:9" ht="38.25" customHeight="1" thickBot="1" x14ac:dyDescent="0.35">
      <c r="A28" s="369"/>
      <c r="B28" s="393" t="s">
        <v>560</v>
      </c>
      <c r="C28" s="394"/>
      <c r="D28" s="395"/>
      <c r="E28" s="381" t="s">
        <v>583</v>
      </c>
      <c r="F28" s="382"/>
      <c r="G28" s="178">
        <v>500000</v>
      </c>
      <c r="H28" s="179">
        <v>1000000</v>
      </c>
      <c r="I28" s="410"/>
    </row>
    <row r="29" spans="1:9" ht="38.25" customHeight="1" thickBot="1" x14ac:dyDescent="0.35">
      <c r="A29" s="369"/>
      <c r="B29" s="372" t="s">
        <v>544</v>
      </c>
      <c r="C29" s="373"/>
      <c r="D29" s="374"/>
      <c r="E29" s="375" t="s">
        <v>545</v>
      </c>
      <c r="F29" s="376"/>
      <c r="G29" s="149">
        <v>500000</v>
      </c>
      <c r="H29" s="152">
        <v>1000000</v>
      </c>
      <c r="I29" s="155"/>
    </row>
    <row r="30" spans="1:9" ht="38.25" customHeight="1" thickBot="1" x14ac:dyDescent="0.35">
      <c r="A30" s="369" t="s">
        <v>561</v>
      </c>
      <c r="B30" s="372" t="s">
        <v>562</v>
      </c>
      <c r="C30" s="373"/>
      <c r="D30" s="374"/>
      <c r="E30" s="391" t="s">
        <v>584</v>
      </c>
      <c r="F30" s="392"/>
      <c r="G30" s="149">
        <v>3000000</v>
      </c>
      <c r="H30" s="152">
        <v>6000000</v>
      </c>
      <c r="I30" s="158"/>
    </row>
    <row r="31" spans="1:9" ht="38.25" customHeight="1" thickBot="1" x14ac:dyDescent="0.35">
      <c r="A31" s="369"/>
      <c r="B31" s="372" t="s">
        <v>585</v>
      </c>
      <c r="C31" s="373"/>
      <c r="D31" s="374"/>
      <c r="E31" s="391" t="s">
        <v>586</v>
      </c>
      <c r="F31" s="392"/>
      <c r="G31" s="149">
        <v>4000000</v>
      </c>
      <c r="H31" s="152">
        <v>8000000</v>
      </c>
      <c r="I31" s="155"/>
    </row>
    <row r="32" spans="1:9" ht="38.25" customHeight="1" thickBot="1" x14ac:dyDescent="0.35">
      <c r="A32" s="369"/>
      <c r="B32" s="372" t="s">
        <v>587</v>
      </c>
      <c r="C32" s="373"/>
      <c r="D32" s="374"/>
      <c r="E32" s="391" t="s">
        <v>588</v>
      </c>
      <c r="F32" s="392"/>
      <c r="G32" s="149">
        <v>3000000</v>
      </c>
      <c r="H32" s="152">
        <v>6000000</v>
      </c>
      <c r="I32" s="159" t="s">
        <v>293</v>
      </c>
    </row>
    <row r="33" spans="1:9" ht="38.25" customHeight="1" thickBot="1" x14ac:dyDescent="0.35">
      <c r="A33" s="369"/>
      <c r="B33" s="372" t="s">
        <v>589</v>
      </c>
      <c r="C33" s="373"/>
      <c r="D33" s="374"/>
      <c r="E33" s="391" t="s">
        <v>590</v>
      </c>
      <c r="F33" s="392"/>
      <c r="G33" s="149">
        <v>4000000</v>
      </c>
      <c r="H33" s="152">
        <v>8000000</v>
      </c>
      <c r="I33" s="159" t="s">
        <v>591</v>
      </c>
    </row>
    <row r="34" spans="1:9" ht="38.25" customHeight="1" thickBot="1" x14ac:dyDescent="0.35">
      <c r="A34" s="369"/>
      <c r="B34" s="372" t="s">
        <v>563</v>
      </c>
      <c r="C34" s="373"/>
      <c r="D34" s="374"/>
      <c r="E34" s="391" t="s">
        <v>592</v>
      </c>
      <c r="F34" s="392"/>
      <c r="G34" s="149">
        <v>3000000</v>
      </c>
      <c r="H34" s="152">
        <v>6000000</v>
      </c>
      <c r="I34" s="155"/>
    </row>
    <row r="35" spans="1:9" ht="38.25" customHeight="1" thickBot="1" x14ac:dyDescent="0.35">
      <c r="A35" s="369"/>
      <c r="B35" s="372" t="s">
        <v>564</v>
      </c>
      <c r="C35" s="373"/>
      <c r="D35" s="374"/>
      <c r="E35" s="375" t="s">
        <v>593</v>
      </c>
      <c r="F35" s="376"/>
      <c r="G35" s="149">
        <v>4000000</v>
      </c>
      <c r="H35" s="152">
        <v>8000000</v>
      </c>
      <c r="I35" s="155"/>
    </row>
    <row r="36" spans="1:9" ht="52.5" customHeight="1" thickBot="1" x14ac:dyDescent="0.35">
      <c r="A36" s="369"/>
      <c r="B36" s="372" t="s">
        <v>565</v>
      </c>
      <c r="C36" s="373"/>
      <c r="D36" s="374"/>
      <c r="E36" s="375" t="s">
        <v>594</v>
      </c>
      <c r="F36" s="376"/>
      <c r="G36" s="149">
        <v>5500000</v>
      </c>
      <c r="H36" s="152">
        <v>11000000</v>
      </c>
      <c r="I36" s="159" t="s">
        <v>293</v>
      </c>
    </row>
    <row r="37" spans="1:9" ht="52.5" customHeight="1" thickBot="1" x14ac:dyDescent="0.35">
      <c r="A37" s="369"/>
      <c r="B37" s="372" t="s">
        <v>566</v>
      </c>
      <c r="C37" s="373"/>
      <c r="D37" s="374"/>
      <c r="E37" s="375" t="s">
        <v>595</v>
      </c>
      <c r="F37" s="376"/>
      <c r="G37" s="149">
        <v>6500000</v>
      </c>
      <c r="H37" s="152">
        <v>13000000</v>
      </c>
      <c r="I37" s="159" t="s">
        <v>591</v>
      </c>
    </row>
    <row r="38" spans="1:9" ht="34.5" customHeight="1" thickBot="1" x14ac:dyDescent="0.35">
      <c r="A38" s="369"/>
      <c r="B38" s="372" t="s">
        <v>596</v>
      </c>
      <c r="C38" s="373"/>
      <c r="D38" s="374"/>
      <c r="E38" s="375" t="s">
        <v>597</v>
      </c>
      <c r="F38" s="376"/>
      <c r="G38" s="149">
        <v>6000000</v>
      </c>
      <c r="H38" s="152">
        <v>12000000</v>
      </c>
      <c r="I38" s="159" t="s">
        <v>598</v>
      </c>
    </row>
    <row r="39" spans="1:9" ht="44.25" customHeight="1" thickBot="1" x14ac:dyDescent="0.35">
      <c r="A39" s="369"/>
      <c r="B39" s="372" t="s">
        <v>599</v>
      </c>
      <c r="C39" s="373"/>
      <c r="D39" s="374"/>
      <c r="E39" s="375" t="s">
        <v>600</v>
      </c>
      <c r="F39" s="376"/>
      <c r="G39" s="149">
        <v>7000000</v>
      </c>
      <c r="H39" s="152">
        <v>14000000</v>
      </c>
      <c r="I39" s="159" t="s">
        <v>293</v>
      </c>
    </row>
    <row r="40" spans="1:9" ht="43.5" customHeight="1" thickBot="1" x14ac:dyDescent="0.35">
      <c r="A40" s="369"/>
      <c r="B40" s="372" t="s">
        <v>601</v>
      </c>
      <c r="C40" s="373"/>
      <c r="D40" s="374"/>
      <c r="E40" s="375" t="s">
        <v>602</v>
      </c>
      <c r="F40" s="376"/>
      <c r="G40" s="149">
        <v>8500000</v>
      </c>
      <c r="H40" s="152">
        <v>17000000</v>
      </c>
      <c r="I40" s="159" t="s">
        <v>598</v>
      </c>
    </row>
    <row r="41" spans="1:9" ht="43.5" customHeight="1" thickBot="1" x14ac:dyDescent="0.35">
      <c r="A41" s="369"/>
      <c r="B41" s="372" t="s">
        <v>567</v>
      </c>
      <c r="C41" s="373"/>
      <c r="D41" s="374"/>
      <c r="E41" s="375" t="s">
        <v>603</v>
      </c>
      <c r="F41" s="376"/>
      <c r="G41" s="149">
        <v>9500000</v>
      </c>
      <c r="H41" s="152">
        <v>19000000</v>
      </c>
      <c r="I41" s="155" t="s">
        <v>591</v>
      </c>
    </row>
    <row r="42" spans="1:9" ht="47.25" customHeight="1" thickBot="1" x14ac:dyDescent="0.35">
      <c r="A42" s="370" t="s">
        <v>568</v>
      </c>
      <c r="B42" s="372" t="s">
        <v>604</v>
      </c>
      <c r="C42" s="373"/>
      <c r="D42" s="374"/>
      <c r="E42" s="375" t="s">
        <v>546</v>
      </c>
      <c r="F42" s="376"/>
      <c r="G42" s="149" t="s">
        <v>571</v>
      </c>
      <c r="H42" s="152">
        <v>6000000</v>
      </c>
      <c r="I42" s="156" t="s">
        <v>569</v>
      </c>
    </row>
    <row r="43" spans="1:9" ht="32.25" customHeight="1" thickBot="1" x14ac:dyDescent="0.35">
      <c r="A43" s="370"/>
      <c r="B43" s="372" t="s">
        <v>547</v>
      </c>
      <c r="C43" s="373"/>
      <c r="D43" s="374"/>
      <c r="E43" s="375" t="s">
        <v>605</v>
      </c>
      <c r="F43" s="376"/>
      <c r="G43" s="149" t="s">
        <v>554</v>
      </c>
      <c r="H43" s="152">
        <v>9000000</v>
      </c>
      <c r="I43" s="156" t="s">
        <v>606</v>
      </c>
    </row>
    <row r="44" spans="1:9" ht="32.25" customHeight="1" thickBot="1" x14ac:dyDescent="0.35">
      <c r="A44" s="371"/>
      <c r="B44" s="377" t="s">
        <v>607</v>
      </c>
      <c r="C44" s="378"/>
      <c r="D44" s="378"/>
      <c r="E44" s="379" t="s">
        <v>608</v>
      </c>
      <c r="F44" s="380"/>
      <c r="G44" s="231" t="s">
        <v>554</v>
      </c>
      <c r="H44" s="232">
        <v>12000000</v>
      </c>
      <c r="I44" s="160" t="s">
        <v>609</v>
      </c>
    </row>
  </sheetData>
  <mergeCells count="84">
    <mergeCell ref="A21:A26"/>
    <mergeCell ref="A27:A29"/>
    <mergeCell ref="I27:I28"/>
    <mergeCell ref="E18:F18"/>
    <mergeCell ref="E23:F23"/>
    <mergeCell ref="E20:F20"/>
    <mergeCell ref="E21:F21"/>
    <mergeCell ref="E24:F24"/>
    <mergeCell ref="B21:C22"/>
    <mergeCell ref="B23:C24"/>
    <mergeCell ref="B25:D25"/>
    <mergeCell ref="E25:F25"/>
    <mergeCell ref="E26:F26"/>
    <mergeCell ref="E19:F19"/>
    <mergeCell ref="E22:F22"/>
    <mergeCell ref="A1:A2"/>
    <mergeCell ref="B1:D2"/>
    <mergeCell ref="B3:D3"/>
    <mergeCell ref="B4:C4"/>
    <mergeCell ref="B5:C6"/>
    <mergeCell ref="A3:A20"/>
    <mergeCell ref="B11:C16"/>
    <mergeCell ref="B17:D17"/>
    <mergeCell ref="B18:C20"/>
    <mergeCell ref="B10:D10"/>
    <mergeCell ref="B8:C9"/>
    <mergeCell ref="E4:F4"/>
    <mergeCell ref="B37:D37"/>
    <mergeCell ref="B35:D35"/>
    <mergeCell ref="B36:D36"/>
    <mergeCell ref="B33:D33"/>
    <mergeCell ref="B34:D34"/>
    <mergeCell ref="B31:D31"/>
    <mergeCell ref="B32:D32"/>
    <mergeCell ref="B29:D29"/>
    <mergeCell ref="B30:D30"/>
    <mergeCell ref="B27:D27"/>
    <mergeCell ref="B28:D28"/>
    <mergeCell ref="B26:D26"/>
    <mergeCell ref="B7:C7"/>
    <mergeCell ref="E10:F10"/>
    <mergeCell ref="E11:F11"/>
    <mergeCell ref="E6:F6"/>
    <mergeCell ref="E7:F7"/>
    <mergeCell ref="E15:F15"/>
    <mergeCell ref="E16:F16"/>
    <mergeCell ref="E14:F14"/>
    <mergeCell ref="E12:F12"/>
    <mergeCell ref="E13:F13"/>
    <mergeCell ref="E9:F9"/>
    <mergeCell ref="E1:F2"/>
    <mergeCell ref="G1:H1"/>
    <mergeCell ref="I1:I2"/>
    <mergeCell ref="E37:F37"/>
    <mergeCell ref="E3:F3"/>
    <mergeCell ref="E5:F5"/>
    <mergeCell ref="E8:F8"/>
    <mergeCell ref="E35:F35"/>
    <mergeCell ref="E36:F36"/>
    <mergeCell ref="E33:F33"/>
    <mergeCell ref="E34:F34"/>
    <mergeCell ref="E31:F31"/>
    <mergeCell ref="E32:F32"/>
    <mergeCell ref="E29:F29"/>
    <mergeCell ref="E30:F30"/>
    <mergeCell ref="E27:F27"/>
    <mergeCell ref="E17:F17"/>
    <mergeCell ref="B38:D38"/>
    <mergeCell ref="E38:F38"/>
    <mergeCell ref="B42:D42"/>
    <mergeCell ref="E42:F42"/>
    <mergeCell ref="E28:F28"/>
    <mergeCell ref="A30:A41"/>
    <mergeCell ref="A42:A44"/>
    <mergeCell ref="B43:D43"/>
    <mergeCell ref="E43:F43"/>
    <mergeCell ref="B44:D44"/>
    <mergeCell ref="E44:F44"/>
    <mergeCell ref="B39:D39"/>
    <mergeCell ref="E39:F39"/>
    <mergeCell ref="B40:D40"/>
    <mergeCell ref="E40:F40"/>
    <mergeCell ref="B41:D41"/>
    <mergeCell ref="E41:F4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="70" zoomScaleNormal="70" workbookViewId="0">
      <selection activeCell="C13" sqref="C13:E13"/>
    </sheetView>
  </sheetViews>
  <sheetFormatPr defaultRowHeight="16.5" x14ac:dyDescent="0.3"/>
  <cols>
    <col min="1" max="1" width="16.125" customWidth="1"/>
    <col min="2" max="2" width="35.625" customWidth="1"/>
    <col min="3" max="5" width="13.625" customWidth="1"/>
    <col min="6" max="6" width="25.5" bestFit="1" customWidth="1"/>
    <col min="7" max="7" width="2.125" customWidth="1"/>
  </cols>
  <sheetData>
    <row r="1" spans="1:6" ht="36" customHeight="1" thickBot="1" x14ac:dyDescent="0.35">
      <c r="A1" s="414" t="s">
        <v>355</v>
      </c>
      <c r="B1" s="415"/>
      <c r="C1" s="415" t="s">
        <v>356</v>
      </c>
      <c r="D1" s="415"/>
      <c r="E1" s="415"/>
      <c r="F1" s="170" t="s">
        <v>357</v>
      </c>
    </row>
    <row r="2" spans="1:6" ht="29.25" customHeight="1" x14ac:dyDescent="0.3">
      <c r="A2" s="416" t="s">
        <v>358</v>
      </c>
      <c r="B2" s="166" t="s">
        <v>359</v>
      </c>
      <c r="C2" s="276" t="s">
        <v>360</v>
      </c>
      <c r="D2" s="277"/>
      <c r="E2" s="278"/>
      <c r="F2" s="135">
        <v>3000000</v>
      </c>
    </row>
    <row r="3" spans="1:6" ht="29.25" customHeight="1" x14ac:dyDescent="0.3">
      <c r="A3" s="417"/>
      <c r="B3" s="203" t="s">
        <v>445</v>
      </c>
      <c r="C3" s="276" t="s">
        <v>446</v>
      </c>
      <c r="D3" s="277"/>
      <c r="E3" s="278"/>
      <c r="F3" s="135">
        <v>4200000</v>
      </c>
    </row>
    <row r="4" spans="1:6" ht="29.25" customHeight="1" x14ac:dyDescent="0.3">
      <c r="A4" s="417"/>
      <c r="B4" s="166" t="s">
        <v>361</v>
      </c>
      <c r="C4" s="276" t="s">
        <v>362</v>
      </c>
      <c r="D4" s="277"/>
      <c r="E4" s="278"/>
      <c r="F4" s="135">
        <v>6000000</v>
      </c>
    </row>
    <row r="5" spans="1:6" ht="29.25" customHeight="1" x14ac:dyDescent="0.3">
      <c r="A5" s="417"/>
      <c r="B5" s="166" t="s">
        <v>363</v>
      </c>
      <c r="C5" s="276" t="s">
        <v>364</v>
      </c>
      <c r="D5" s="277"/>
      <c r="E5" s="278"/>
      <c r="F5" s="135" t="s">
        <v>365</v>
      </c>
    </row>
    <row r="6" spans="1:6" ht="29.25" customHeight="1" x14ac:dyDescent="0.3">
      <c r="A6" s="417"/>
      <c r="B6" s="166" t="s">
        <v>366</v>
      </c>
      <c r="C6" s="276" t="s">
        <v>367</v>
      </c>
      <c r="D6" s="277"/>
      <c r="E6" s="278"/>
      <c r="F6" s="135">
        <v>12000000</v>
      </c>
    </row>
    <row r="7" spans="1:6" ht="29.25" customHeight="1" x14ac:dyDescent="0.3">
      <c r="A7" s="417"/>
      <c r="B7" s="166" t="s">
        <v>368</v>
      </c>
      <c r="C7" s="276" t="s">
        <v>369</v>
      </c>
      <c r="D7" s="277"/>
      <c r="E7" s="278"/>
      <c r="F7" s="135">
        <v>24000000</v>
      </c>
    </row>
    <row r="8" spans="1:6" ht="29.25" customHeight="1" x14ac:dyDescent="0.3">
      <c r="A8" s="417"/>
      <c r="B8" s="166" t="s">
        <v>370</v>
      </c>
      <c r="C8" s="276" t="s">
        <v>371</v>
      </c>
      <c r="D8" s="277"/>
      <c r="E8" s="278"/>
      <c r="F8" s="135">
        <v>36000000</v>
      </c>
    </row>
    <row r="9" spans="1:6" ht="7.5" customHeight="1" x14ac:dyDescent="0.3">
      <c r="A9" s="417"/>
      <c r="B9" s="419"/>
      <c r="C9" s="419"/>
      <c r="D9" s="419"/>
      <c r="E9" s="419"/>
      <c r="F9" s="420"/>
    </row>
    <row r="10" spans="1:6" ht="29.25" customHeight="1" x14ac:dyDescent="0.3">
      <c r="A10" s="417"/>
      <c r="B10" s="166" t="s">
        <v>372</v>
      </c>
      <c r="C10" s="276" t="s">
        <v>360</v>
      </c>
      <c r="D10" s="277"/>
      <c r="E10" s="278"/>
      <c r="F10" s="135">
        <v>250000</v>
      </c>
    </row>
    <row r="11" spans="1:6" ht="29.25" customHeight="1" x14ac:dyDescent="0.3">
      <c r="A11" s="417"/>
      <c r="B11" s="203" t="s">
        <v>447</v>
      </c>
      <c r="C11" s="276" t="s">
        <v>448</v>
      </c>
      <c r="D11" s="277"/>
      <c r="E11" s="278"/>
      <c r="F11" s="135">
        <v>350000</v>
      </c>
    </row>
    <row r="12" spans="1:6" ht="29.25" customHeight="1" x14ac:dyDescent="0.3">
      <c r="A12" s="417"/>
      <c r="B12" s="166" t="s">
        <v>373</v>
      </c>
      <c r="C12" s="276" t="s">
        <v>362</v>
      </c>
      <c r="D12" s="277"/>
      <c r="E12" s="278"/>
      <c r="F12" s="135">
        <v>500000</v>
      </c>
    </row>
    <row r="13" spans="1:6" ht="29.25" customHeight="1" x14ac:dyDescent="0.3">
      <c r="A13" s="417"/>
      <c r="B13" s="166" t="s">
        <v>374</v>
      </c>
      <c r="C13" s="276" t="s">
        <v>364</v>
      </c>
      <c r="D13" s="277"/>
      <c r="E13" s="278"/>
      <c r="F13" s="135">
        <v>750000</v>
      </c>
    </row>
    <row r="14" spans="1:6" ht="29.25" customHeight="1" x14ac:dyDescent="0.3">
      <c r="A14" s="417"/>
      <c r="B14" s="166" t="s">
        <v>375</v>
      </c>
      <c r="C14" s="276" t="s">
        <v>367</v>
      </c>
      <c r="D14" s="277"/>
      <c r="E14" s="278"/>
      <c r="F14" s="135">
        <v>1000000</v>
      </c>
    </row>
    <row r="15" spans="1:6" ht="29.25" customHeight="1" x14ac:dyDescent="0.3">
      <c r="A15" s="417"/>
      <c r="B15" s="166" t="s">
        <v>376</v>
      </c>
      <c r="C15" s="276" t="s">
        <v>369</v>
      </c>
      <c r="D15" s="277"/>
      <c r="E15" s="278"/>
      <c r="F15" s="135">
        <v>2000000</v>
      </c>
    </row>
    <row r="16" spans="1:6" ht="29.25" customHeight="1" x14ac:dyDescent="0.3">
      <c r="A16" s="417"/>
      <c r="B16" s="166" t="s">
        <v>377</v>
      </c>
      <c r="C16" s="276" t="s">
        <v>371</v>
      </c>
      <c r="D16" s="277"/>
      <c r="E16" s="278"/>
      <c r="F16" s="135">
        <v>3000000</v>
      </c>
    </row>
    <row r="17" spans="1:6" ht="6.75" customHeight="1" x14ac:dyDescent="0.3">
      <c r="A17" s="417"/>
      <c r="B17" s="418"/>
      <c r="C17" s="418"/>
      <c r="D17" s="418"/>
      <c r="E17" s="418"/>
      <c r="F17" s="418"/>
    </row>
  </sheetData>
  <mergeCells count="19">
    <mergeCell ref="C10:E10"/>
    <mergeCell ref="C12:E12"/>
    <mergeCell ref="C13:E13"/>
    <mergeCell ref="C14:E14"/>
    <mergeCell ref="C15:E15"/>
    <mergeCell ref="C16:E16"/>
    <mergeCell ref="C11:E11"/>
    <mergeCell ref="A1:B1"/>
    <mergeCell ref="C1:E1"/>
    <mergeCell ref="C2:E2"/>
    <mergeCell ref="C4:E4"/>
    <mergeCell ref="C5:E5"/>
    <mergeCell ref="C3:E3"/>
    <mergeCell ref="A2:A17"/>
    <mergeCell ref="B17:F17"/>
    <mergeCell ref="C6:E6"/>
    <mergeCell ref="C7:E7"/>
    <mergeCell ref="C8:E8"/>
    <mergeCell ref="B9:F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72"/>
  <sheetViews>
    <sheetView topLeftCell="A16" workbookViewId="0">
      <selection activeCell="D26" sqref="D26"/>
    </sheetView>
  </sheetViews>
  <sheetFormatPr defaultRowHeight="16.5" x14ac:dyDescent="0.3"/>
  <cols>
    <col min="4" max="4" width="35.25" customWidth="1"/>
    <col min="5" max="5" width="57" customWidth="1"/>
    <col min="6" max="6" width="16.75" customWidth="1"/>
    <col min="8" max="8" width="28" customWidth="1"/>
    <col min="9" max="9" width="12.125" customWidth="1"/>
    <col min="10" max="10" width="11.375" customWidth="1"/>
  </cols>
  <sheetData>
    <row r="2" spans="3:7" ht="33" x14ac:dyDescent="0.3">
      <c r="C2" t="s">
        <v>160</v>
      </c>
      <c r="D2" s="89" t="s">
        <v>186</v>
      </c>
      <c r="E2" t="s">
        <v>161</v>
      </c>
    </row>
    <row r="3" spans="3:7" ht="33" x14ac:dyDescent="0.3">
      <c r="D3" s="89" t="s">
        <v>187</v>
      </c>
      <c r="E3">
        <v>40000</v>
      </c>
    </row>
    <row r="4" spans="3:7" ht="33" x14ac:dyDescent="0.3">
      <c r="D4" s="89" t="s">
        <v>188</v>
      </c>
      <c r="E4" t="s">
        <v>162</v>
      </c>
    </row>
    <row r="11" spans="3:7" ht="82.5" customHeight="1" x14ac:dyDescent="0.3">
      <c r="C11" t="s">
        <v>147</v>
      </c>
      <c r="D11" t="s">
        <v>101</v>
      </c>
      <c r="E11" s="126" t="s">
        <v>202</v>
      </c>
      <c r="F11" s="31">
        <v>500000</v>
      </c>
    </row>
    <row r="12" spans="3:7" ht="96.75" customHeight="1" x14ac:dyDescent="0.3">
      <c r="D12" t="s">
        <v>102</v>
      </c>
      <c r="E12" s="126" t="s">
        <v>203</v>
      </c>
      <c r="F12" s="31">
        <v>700000</v>
      </c>
    </row>
    <row r="13" spans="3:7" ht="25.5" customHeight="1" x14ac:dyDescent="0.3"/>
    <row r="14" spans="3:7" ht="25.5" customHeight="1" x14ac:dyDescent="0.3"/>
    <row r="15" spans="3:7" ht="22.5" customHeight="1" x14ac:dyDescent="0.3"/>
    <row r="16" spans="3:7" ht="19.5" x14ac:dyDescent="0.3">
      <c r="C16" t="s">
        <v>132</v>
      </c>
      <c r="D16" t="s">
        <v>126</v>
      </c>
      <c r="E16" s="85" t="s">
        <v>141</v>
      </c>
      <c r="F16" s="31">
        <v>7500</v>
      </c>
      <c r="G16" s="85"/>
    </row>
    <row r="17" spans="4:7" ht="19.5" x14ac:dyDescent="0.3">
      <c r="D17" t="s">
        <v>127</v>
      </c>
      <c r="E17" s="85" t="s">
        <v>142</v>
      </c>
      <c r="F17" s="31">
        <v>12500</v>
      </c>
      <c r="G17" s="85"/>
    </row>
    <row r="18" spans="4:7" ht="19.5" x14ac:dyDescent="0.3">
      <c r="D18" t="s">
        <v>128</v>
      </c>
      <c r="E18" s="85" t="s">
        <v>143</v>
      </c>
      <c r="F18" s="31">
        <v>20000</v>
      </c>
      <c r="G18" s="85"/>
    </row>
    <row r="19" spans="4:7" ht="19.5" x14ac:dyDescent="0.3">
      <c r="D19" t="s">
        <v>129</v>
      </c>
      <c r="E19" s="85" t="s">
        <v>144</v>
      </c>
      <c r="F19" s="31">
        <v>37500</v>
      </c>
      <c r="G19" s="85"/>
    </row>
    <row r="20" spans="4:7" ht="19.5" x14ac:dyDescent="0.3">
      <c r="D20" t="s">
        <v>130</v>
      </c>
      <c r="E20" s="85" t="s">
        <v>145</v>
      </c>
      <c r="F20" s="31">
        <v>62500</v>
      </c>
      <c r="G20" s="85"/>
    </row>
    <row r="21" spans="4:7" ht="19.5" x14ac:dyDescent="0.3">
      <c r="D21" t="s">
        <v>131</v>
      </c>
      <c r="E21" s="85" t="s">
        <v>146</v>
      </c>
      <c r="F21" s="31" t="s">
        <v>123</v>
      </c>
      <c r="G21" s="85"/>
    </row>
    <row r="25" spans="4:7" ht="19.5" x14ac:dyDescent="0.3">
      <c r="D25" t="s">
        <v>527</v>
      </c>
      <c r="E25" s="31">
        <v>30000</v>
      </c>
      <c r="F25" s="31"/>
      <c r="G25" s="85"/>
    </row>
    <row r="26" spans="4:7" ht="19.5" x14ac:dyDescent="0.3">
      <c r="D26" t="s">
        <v>136</v>
      </c>
      <c r="E26" s="31">
        <v>60000</v>
      </c>
      <c r="F26" s="31"/>
      <c r="G26" s="85"/>
    </row>
    <row r="27" spans="4:7" ht="16.5" customHeight="1" x14ac:dyDescent="0.3">
      <c r="D27" t="s">
        <v>137</v>
      </c>
      <c r="E27" s="31">
        <v>120000</v>
      </c>
      <c r="F27" s="31"/>
      <c r="G27" s="85"/>
    </row>
    <row r="28" spans="4:7" ht="16.5" customHeight="1" x14ac:dyDescent="0.3">
      <c r="D28" t="s">
        <v>138</v>
      </c>
      <c r="E28" s="31">
        <v>180000</v>
      </c>
      <c r="F28" s="31"/>
      <c r="G28" s="85"/>
    </row>
    <row r="29" spans="4:7" ht="16.5" customHeight="1" x14ac:dyDescent="0.3">
      <c r="D29" t="s">
        <v>139</v>
      </c>
      <c r="E29" s="31">
        <v>300000</v>
      </c>
      <c r="F29" s="31"/>
      <c r="G29" s="85"/>
    </row>
    <row r="30" spans="4:7" ht="16.5" customHeight="1" x14ac:dyDescent="0.3"/>
    <row r="31" spans="4:7" ht="16.5" customHeight="1" x14ac:dyDescent="0.3"/>
    <row r="35" spans="3:9" x14ac:dyDescent="0.3">
      <c r="C35" t="s">
        <v>133</v>
      </c>
      <c r="D35" t="s">
        <v>184</v>
      </c>
      <c r="E35" s="87">
        <v>50000</v>
      </c>
      <c r="I35" s="88"/>
    </row>
    <row r="36" spans="3:9" x14ac:dyDescent="0.3">
      <c r="D36" t="s">
        <v>183</v>
      </c>
      <c r="E36" s="87">
        <v>40000</v>
      </c>
      <c r="I36" s="86"/>
    </row>
    <row r="37" spans="3:9" x14ac:dyDescent="0.3">
      <c r="D37" t="s">
        <v>182</v>
      </c>
      <c r="E37" s="86" t="s">
        <v>58</v>
      </c>
      <c r="F37" s="86"/>
    </row>
    <row r="40" spans="3:9" ht="16.5" customHeight="1" x14ac:dyDescent="0.3"/>
    <row r="41" spans="3:9" ht="16.5" customHeight="1" x14ac:dyDescent="0.3"/>
    <row r="42" spans="3:9" ht="16.5" customHeight="1" x14ac:dyDescent="0.3">
      <c r="C42" t="s">
        <v>134</v>
      </c>
      <c r="D42" t="s">
        <v>526</v>
      </c>
      <c r="E42" s="88">
        <v>13000</v>
      </c>
      <c r="F42" s="86"/>
    </row>
    <row r="43" spans="3:9" x14ac:dyDescent="0.3">
      <c r="D43" t="s">
        <v>177</v>
      </c>
      <c r="E43" s="88">
        <v>12000</v>
      </c>
      <c r="F43" s="86"/>
    </row>
    <row r="44" spans="3:9" x14ac:dyDescent="0.3">
      <c r="D44" t="s">
        <v>178</v>
      </c>
      <c r="E44" s="88">
        <v>11000</v>
      </c>
      <c r="F44" s="86"/>
    </row>
    <row r="45" spans="3:9" x14ac:dyDescent="0.3">
      <c r="D45" t="s">
        <v>179</v>
      </c>
      <c r="E45" s="86" t="s">
        <v>58</v>
      </c>
      <c r="F45" s="86"/>
    </row>
    <row r="48" spans="3:9" x14ac:dyDescent="0.3">
      <c r="C48" t="s">
        <v>135</v>
      </c>
      <c r="D48" t="s">
        <v>180</v>
      </c>
      <c r="E48" s="88">
        <v>2000</v>
      </c>
      <c r="F48" s="86"/>
    </row>
    <row r="49" spans="4:6" x14ac:dyDescent="0.3">
      <c r="D49" t="s">
        <v>181</v>
      </c>
      <c r="E49" s="86" t="s">
        <v>58</v>
      </c>
      <c r="F49" s="86"/>
    </row>
    <row r="53" spans="4:6" ht="19.5" x14ac:dyDescent="0.3">
      <c r="E53" t="s">
        <v>148</v>
      </c>
      <c r="F53" s="31">
        <v>4000000</v>
      </c>
    </row>
    <row r="54" spans="4:6" ht="19.5" x14ac:dyDescent="0.3">
      <c r="E54" t="s">
        <v>149</v>
      </c>
      <c r="F54" s="31">
        <v>4000000</v>
      </c>
    </row>
    <row r="55" spans="4:6" ht="19.5" x14ac:dyDescent="0.3">
      <c r="E55" t="s">
        <v>150</v>
      </c>
      <c r="F55" s="31">
        <v>4000000</v>
      </c>
    </row>
    <row r="56" spans="4:6" ht="19.5" x14ac:dyDescent="0.3">
      <c r="E56" t="s">
        <v>151</v>
      </c>
      <c r="F56" s="31">
        <v>4000000</v>
      </c>
    </row>
    <row r="57" spans="4:6" ht="19.5" x14ac:dyDescent="0.3">
      <c r="E57" t="s">
        <v>198</v>
      </c>
      <c r="F57" s="31">
        <v>4000000</v>
      </c>
    </row>
    <row r="58" spans="4:6" ht="19.5" x14ac:dyDescent="0.3">
      <c r="E58" t="s">
        <v>152</v>
      </c>
      <c r="F58" s="31">
        <v>2000000</v>
      </c>
    </row>
    <row r="59" spans="4:6" ht="19.5" x14ac:dyDescent="0.3">
      <c r="E59" t="s">
        <v>153</v>
      </c>
      <c r="F59" s="31">
        <v>2000000</v>
      </c>
    </row>
    <row r="60" spans="4:6" ht="19.5" x14ac:dyDescent="0.3">
      <c r="E60" t="s">
        <v>154</v>
      </c>
      <c r="F60" s="31">
        <v>2000000</v>
      </c>
    </row>
    <row r="61" spans="4:6" ht="19.5" x14ac:dyDescent="0.3">
      <c r="E61" t="s">
        <v>155</v>
      </c>
      <c r="F61" s="31">
        <v>1000000</v>
      </c>
    </row>
    <row r="62" spans="4:6" ht="19.5" x14ac:dyDescent="0.3">
      <c r="E62" t="s">
        <v>156</v>
      </c>
      <c r="F62" s="31">
        <v>4000000</v>
      </c>
    </row>
    <row r="63" spans="4:6" ht="19.5" x14ac:dyDescent="0.3">
      <c r="E63" t="s">
        <v>157</v>
      </c>
      <c r="F63" s="31">
        <v>6000000</v>
      </c>
    </row>
    <row r="64" spans="4:6" ht="19.5" x14ac:dyDescent="0.3">
      <c r="E64" t="s">
        <v>158</v>
      </c>
      <c r="F64" s="31" t="s">
        <v>159</v>
      </c>
    </row>
    <row r="71" spans="4:4" x14ac:dyDescent="0.3">
      <c r="D71" t="s">
        <v>175</v>
      </c>
    </row>
    <row r="72" spans="4:4" x14ac:dyDescent="0.3">
      <c r="D72" t="s">
        <v>176</v>
      </c>
    </row>
  </sheetData>
  <sheetProtection password="EDF2" sheet="1" objects="1" scenarios="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표지</vt:lpstr>
      <vt:lpstr>Amaranth 10 Cloud 견적서</vt:lpstr>
      <vt:lpstr>교육비</vt:lpstr>
      <vt:lpstr>ONE AI</vt:lpstr>
      <vt:lpstr>마케팅</vt:lpstr>
      <vt:lpstr>'Amaranth 10 Cloud 견적서'!Print_Area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leekyunghwa</dc:creator>
  <cp:lastModifiedBy>yslee2373</cp:lastModifiedBy>
  <cp:lastPrinted>2024-06-24T03:59:52Z</cp:lastPrinted>
  <dcterms:created xsi:type="dcterms:W3CDTF">2017-09-14T00:34:31Z</dcterms:created>
  <dcterms:modified xsi:type="dcterms:W3CDTF">2026-03-16T01:19:27Z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H:\업무모음-USB\공급계약서 및 공급 약관(최종)_180125\Bizbox Alpha_패키지 공급 계약서_v2.8.3_180307.xlsx</vt:lpwstr>
  </property>
</Properties>
</file>