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onedrive\OneDrive\일\더존\02_공통양식\견적,청약양식\"/>
    </mc:Choice>
  </mc:AlternateContent>
  <bookViews>
    <workbookView xWindow="-108" yWindow="-108" windowWidth="20376" windowHeight="12096" tabRatio="895" activeTab="2"/>
  </bookViews>
  <sheets>
    <sheet name="신규(기업)" sheetId="73" r:id="rId1"/>
    <sheet name="세무" sheetId="65" r:id="rId2"/>
    <sheet name="가격표" sheetId="69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_____A2040" hidden="1">{#N/A,#N/A,FALSE,"단축1";#N/A,#N/A,FALSE,"단축2";#N/A,#N/A,FALSE,"단축3";#N/A,#N/A,FALSE,"장축";#N/A,#N/A,FALSE,"4WD"}</definedName>
    <definedName name="_____D6" hidden="1">{"'표지'!$B$5"}</definedName>
    <definedName name="_____h1" hidden="1">{"'표지'!$B$5"}</definedName>
    <definedName name="_____h2" hidden="1">{"'표지'!$B$5"}</definedName>
    <definedName name="_____h3" hidden="1">{"'표지'!$B$5"}</definedName>
    <definedName name="_____h4" hidden="1">{"'표지'!$B$5"}</definedName>
    <definedName name="_____h5" hidden="1">{"'표지'!$B$5"}</definedName>
    <definedName name="_____htt1" hidden="1">{"'표지'!$B$5"}</definedName>
    <definedName name="_____k7" hidden="1">{#N/A,#N/A,FALSE,"단축1";#N/A,#N/A,FALSE,"단축2";#N/A,#N/A,FALSE,"단축3";#N/A,#N/A,FALSE,"장축";#N/A,#N/A,FALSE,"4WD"}</definedName>
    <definedName name="_____k8" hidden="1">{#N/A,#N/A,FALSE,"단축1";#N/A,#N/A,FALSE,"단축2";#N/A,#N/A,FALSE,"단축3";#N/A,#N/A,FALSE,"장축";#N/A,#N/A,FALSE,"4WD"}</definedName>
    <definedName name="_____k9" hidden="1">{#N/A,#N/A,FALSE,"단축1";#N/A,#N/A,FALSE,"단축2";#N/A,#N/A,FALSE,"단축3";#N/A,#N/A,FALSE,"장축";#N/A,#N/A,FALSE,"4WD"}</definedName>
    <definedName name="_____LPS2" hidden="1">{#N/A,#N/A,FALSE,"단축1";#N/A,#N/A,FALSE,"단축2";#N/A,#N/A,FALSE,"단축3";#N/A,#N/A,FALSE,"장축";#N/A,#N/A,FALSE,"4WD"}</definedName>
    <definedName name="_____P2" hidden="1">{#N/A,#N/A,FALSE,"단축1";#N/A,#N/A,FALSE,"단축2";#N/A,#N/A,FALSE,"단축3";#N/A,#N/A,FALSE,"장축";#N/A,#N/A,FALSE,"4WD"}</definedName>
    <definedName name="_____PB004" hidden="1">{#N/A,#N/A,FALSE,"단축1";#N/A,#N/A,FALSE,"단축2";#N/A,#N/A,FALSE,"단축3";#N/A,#N/A,FALSE,"장축";#N/A,#N/A,FALSE,"4WD"}</definedName>
    <definedName name="_____ppr1" hidden="1">{#N/A,#N/A,FALSE,"단축1";#N/A,#N/A,FALSE,"단축2";#N/A,#N/A,FALSE,"단축3";#N/A,#N/A,FALSE,"장축";#N/A,#N/A,FALSE,"4WD"}</definedName>
    <definedName name="_____ppr2" hidden="1">{#N/A,#N/A,FALSE,"단축1";#N/A,#N/A,FALSE,"단축2";#N/A,#N/A,FALSE,"단축3";#N/A,#N/A,FALSE,"장축";#N/A,#N/A,FALSE,"4WD"}</definedName>
    <definedName name="_____Q1" hidden="1">{#N/A,#N/A,FALSE,"단축1";#N/A,#N/A,FALSE,"단축2";#N/A,#N/A,FALSE,"단축3";#N/A,#N/A,FALSE,"장축";#N/A,#N/A,FALSE,"4WD"}</definedName>
    <definedName name="_____T2" hidden="1">{#N/A,#N/A,FALSE,"단축1";#N/A,#N/A,FALSE,"단축2";#N/A,#N/A,FALSE,"단축3";#N/A,#N/A,FALSE,"장축";#N/A,#N/A,FALSE,"4WD"}</definedName>
    <definedName name="_____T3" hidden="1">{#N/A,#N/A,FALSE,"단축1";#N/A,#N/A,FALSE,"단축2";#N/A,#N/A,FALSE,"단축3";#N/A,#N/A,FALSE,"장축";#N/A,#N/A,FALSE,"4WD"}</definedName>
    <definedName name="_____T5" hidden="1">{#N/A,#N/A,FALSE,"단축1";#N/A,#N/A,FALSE,"단축2";#N/A,#N/A,FALSE,"단축3";#N/A,#N/A,FALSE,"장축";#N/A,#N/A,FALSE,"4WD"}</definedName>
    <definedName name="_____tc1" hidden="1">{#N/A,#N/A,FALSE,"단축1";#N/A,#N/A,FALSE,"단축2";#N/A,#N/A,FALSE,"단축3";#N/A,#N/A,FALSE,"장축";#N/A,#N/A,FALSE,"4WD"}</definedName>
    <definedName name="_____tc2" hidden="1">{#N/A,#N/A,FALSE,"단축1";#N/A,#N/A,FALSE,"단축2";#N/A,#N/A,FALSE,"단축3";#N/A,#N/A,FALSE,"장축";#N/A,#N/A,FALSE,"4WD"}</definedName>
    <definedName name="_____tc3" hidden="1">{#N/A,#N/A,FALSE,"단축1";#N/A,#N/A,FALSE,"단축2";#N/A,#N/A,FALSE,"단축3";#N/A,#N/A,FALSE,"장축";#N/A,#N/A,FALSE,"4WD"}</definedName>
    <definedName name="____htt1" hidden="1">{"'표지'!$B$5"}</definedName>
    <definedName name="____LPS2" hidden="1">{#N/A,#N/A,FALSE,"단축1";#N/A,#N/A,FALSE,"단축2";#N/A,#N/A,FALSE,"단축3";#N/A,#N/A,FALSE,"장축";#N/A,#N/A,FALSE,"4WD"}</definedName>
    <definedName name="____PB004" hidden="1">{#N/A,#N/A,FALSE,"단축1";#N/A,#N/A,FALSE,"단축2";#N/A,#N/A,FALSE,"단축3";#N/A,#N/A,FALSE,"장축";#N/A,#N/A,FALSE,"4WD"}</definedName>
    <definedName name="____ppr1" hidden="1">{#N/A,#N/A,FALSE,"단축1";#N/A,#N/A,FALSE,"단축2";#N/A,#N/A,FALSE,"단축3";#N/A,#N/A,FALSE,"장축";#N/A,#N/A,FALSE,"4WD"}</definedName>
    <definedName name="____ppr2" hidden="1">{#N/A,#N/A,FALSE,"단축1";#N/A,#N/A,FALSE,"단축2";#N/A,#N/A,FALSE,"단축3";#N/A,#N/A,FALSE,"장축";#N/A,#N/A,FALSE,"4WD"}</definedName>
    <definedName name="____SDW1" localSheetId="1" hidden="1">'[1]#REF'!#REF!</definedName>
    <definedName name="____SDW1" localSheetId="0" hidden="1">'[1]#REF'!#REF!</definedName>
    <definedName name="____SDW1" hidden="1">'[1]#REF'!#REF!</definedName>
    <definedName name="____tc1" hidden="1">{#N/A,#N/A,FALSE,"단축1";#N/A,#N/A,FALSE,"단축2";#N/A,#N/A,FALSE,"단축3";#N/A,#N/A,FALSE,"장축";#N/A,#N/A,FALSE,"4WD"}</definedName>
    <definedName name="____tc2" hidden="1">{#N/A,#N/A,FALSE,"단축1";#N/A,#N/A,FALSE,"단축2";#N/A,#N/A,FALSE,"단축3";#N/A,#N/A,FALSE,"장축";#N/A,#N/A,FALSE,"4WD"}</definedName>
    <definedName name="____tc3" hidden="1">{#N/A,#N/A,FALSE,"단축1";#N/A,#N/A,FALSE,"단축2";#N/A,#N/A,FALSE,"단축3";#N/A,#N/A,FALSE,"장축";#N/A,#N/A,FALSE,"4WD"}</definedName>
    <definedName name="___A2040" hidden="1">{#N/A,#N/A,FALSE,"단축1";#N/A,#N/A,FALSE,"단축2";#N/A,#N/A,FALSE,"단축3";#N/A,#N/A,FALSE,"장축";#N/A,#N/A,FALSE,"4WD"}</definedName>
    <definedName name="___D6" hidden="1">{"'표지'!$B$5"}</definedName>
    <definedName name="___h1" hidden="1">{"'표지'!$B$5"}</definedName>
    <definedName name="___h2" hidden="1">{"'표지'!$B$5"}</definedName>
    <definedName name="___h3" hidden="1">{"'표지'!$B$5"}</definedName>
    <definedName name="___h4" hidden="1">{"'표지'!$B$5"}</definedName>
    <definedName name="___h5" hidden="1">{"'표지'!$B$5"}</definedName>
    <definedName name="___htt1" hidden="1">{"'표지'!$B$5"}</definedName>
    <definedName name="___k7" hidden="1">{#N/A,#N/A,FALSE,"단축1";#N/A,#N/A,FALSE,"단축2";#N/A,#N/A,FALSE,"단축3";#N/A,#N/A,FALSE,"장축";#N/A,#N/A,FALSE,"4WD"}</definedName>
    <definedName name="___k8" hidden="1">{#N/A,#N/A,FALSE,"단축1";#N/A,#N/A,FALSE,"단축2";#N/A,#N/A,FALSE,"단축3";#N/A,#N/A,FALSE,"장축";#N/A,#N/A,FALSE,"4WD"}</definedName>
    <definedName name="___k9" hidden="1">{#N/A,#N/A,FALSE,"단축1";#N/A,#N/A,FALSE,"단축2";#N/A,#N/A,FALSE,"단축3";#N/A,#N/A,FALSE,"장축";#N/A,#N/A,FALSE,"4WD"}</definedName>
    <definedName name="___LPS2" hidden="1">{#N/A,#N/A,FALSE,"단축1";#N/A,#N/A,FALSE,"단축2";#N/A,#N/A,FALSE,"단축3";#N/A,#N/A,FALSE,"장축";#N/A,#N/A,FALSE,"4WD"}</definedName>
    <definedName name="___P2" hidden="1">{#N/A,#N/A,FALSE,"단축1";#N/A,#N/A,FALSE,"단축2";#N/A,#N/A,FALSE,"단축3";#N/A,#N/A,FALSE,"장축";#N/A,#N/A,FALSE,"4WD"}</definedName>
    <definedName name="___PB004" hidden="1">{#N/A,#N/A,FALSE,"단축1";#N/A,#N/A,FALSE,"단축2";#N/A,#N/A,FALSE,"단축3";#N/A,#N/A,FALSE,"장축";#N/A,#N/A,FALSE,"4WD"}</definedName>
    <definedName name="___ppr1" hidden="1">{#N/A,#N/A,FALSE,"단축1";#N/A,#N/A,FALSE,"단축2";#N/A,#N/A,FALSE,"단축3";#N/A,#N/A,FALSE,"장축";#N/A,#N/A,FALSE,"4WD"}</definedName>
    <definedName name="___ppr2" hidden="1">{#N/A,#N/A,FALSE,"단축1";#N/A,#N/A,FALSE,"단축2";#N/A,#N/A,FALSE,"단축3";#N/A,#N/A,FALSE,"장축";#N/A,#N/A,FALSE,"4WD"}</definedName>
    <definedName name="___Q1" hidden="1">{#N/A,#N/A,FALSE,"단축1";#N/A,#N/A,FALSE,"단축2";#N/A,#N/A,FALSE,"단축3";#N/A,#N/A,FALSE,"장축";#N/A,#N/A,FALSE,"4WD"}</definedName>
    <definedName name="___SDW1" localSheetId="1" hidden="1">'[1]#REF'!#REF!</definedName>
    <definedName name="___SDW1" localSheetId="0" hidden="1">'[1]#REF'!#REF!</definedName>
    <definedName name="___SDW1" hidden="1">'[1]#REF'!#REF!</definedName>
    <definedName name="___T2" hidden="1">{#N/A,#N/A,FALSE,"단축1";#N/A,#N/A,FALSE,"단축2";#N/A,#N/A,FALSE,"단축3";#N/A,#N/A,FALSE,"장축";#N/A,#N/A,FALSE,"4WD"}</definedName>
    <definedName name="___T3" hidden="1">{#N/A,#N/A,FALSE,"단축1";#N/A,#N/A,FALSE,"단축2";#N/A,#N/A,FALSE,"단축3";#N/A,#N/A,FALSE,"장축";#N/A,#N/A,FALSE,"4WD"}</definedName>
    <definedName name="___T5" hidden="1">{#N/A,#N/A,FALSE,"단축1";#N/A,#N/A,FALSE,"단축2";#N/A,#N/A,FALSE,"단축3";#N/A,#N/A,FALSE,"장축";#N/A,#N/A,FALSE,"4WD"}</definedName>
    <definedName name="___tc1" hidden="1">{#N/A,#N/A,FALSE,"단축1";#N/A,#N/A,FALSE,"단축2";#N/A,#N/A,FALSE,"단축3";#N/A,#N/A,FALSE,"장축";#N/A,#N/A,FALSE,"4WD"}</definedName>
    <definedName name="___tc2" hidden="1">{#N/A,#N/A,FALSE,"단축1";#N/A,#N/A,FALSE,"단축2";#N/A,#N/A,FALSE,"단축3";#N/A,#N/A,FALSE,"장축";#N/A,#N/A,FALSE,"4WD"}</definedName>
    <definedName name="___tc3" hidden="1">{#N/A,#N/A,FALSE,"단축1";#N/A,#N/A,FALSE,"단축2";#N/A,#N/A,FALSE,"단축3";#N/A,#N/A,FALSE,"장축";#N/A,#N/A,FALSE,"4WD"}</definedName>
    <definedName name="__123Graph_D" localSheetId="1" hidden="1">'[2]F4-F7'!#REF!</definedName>
    <definedName name="__123Graph_D" localSheetId="0" hidden="1">'[2]F4-F7'!#REF!</definedName>
    <definedName name="__123Graph_D" hidden="1">'[2]F4-F7'!#REF!</definedName>
    <definedName name="__A2040" hidden="1">{#N/A,#N/A,FALSE,"단축1";#N/A,#N/A,FALSE,"단축2";#N/A,#N/A,FALSE,"단축3";#N/A,#N/A,FALSE,"장축";#N/A,#N/A,FALSE,"4WD"}</definedName>
    <definedName name="__D6" hidden="1">{"'표지'!$B$5"}</definedName>
    <definedName name="__h1" hidden="1">{"'표지'!$B$5"}</definedName>
    <definedName name="__h2" hidden="1">{"'표지'!$B$5"}</definedName>
    <definedName name="__h3" hidden="1">{"'표지'!$B$5"}</definedName>
    <definedName name="__h4" hidden="1">{"'표지'!$B$5"}</definedName>
    <definedName name="__h5" hidden="1">{"'표지'!$B$5"}</definedName>
    <definedName name="__htt1" hidden="1">{"'표지'!$B$5"}</definedName>
    <definedName name="__k7" hidden="1">{#N/A,#N/A,FALSE,"단축1";#N/A,#N/A,FALSE,"단축2";#N/A,#N/A,FALSE,"단축3";#N/A,#N/A,FALSE,"장축";#N/A,#N/A,FALSE,"4WD"}</definedName>
    <definedName name="__k8" hidden="1">{#N/A,#N/A,FALSE,"단축1";#N/A,#N/A,FALSE,"단축2";#N/A,#N/A,FALSE,"단축3";#N/A,#N/A,FALSE,"장축";#N/A,#N/A,FALSE,"4WD"}</definedName>
    <definedName name="__k9" hidden="1">{#N/A,#N/A,FALSE,"단축1";#N/A,#N/A,FALSE,"단축2";#N/A,#N/A,FALSE,"단축3";#N/A,#N/A,FALSE,"장축";#N/A,#N/A,FALSE,"4WD"}</definedName>
    <definedName name="__LPS2" hidden="1">{#N/A,#N/A,FALSE,"단축1";#N/A,#N/A,FALSE,"단축2";#N/A,#N/A,FALSE,"단축3";#N/A,#N/A,FALSE,"장축";#N/A,#N/A,FALSE,"4WD"}</definedName>
    <definedName name="__P2" hidden="1">{#N/A,#N/A,FALSE,"단축1";#N/A,#N/A,FALSE,"단축2";#N/A,#N/A,FALSE,"단축3";#N/A,#N/A,FALSE,"장축";#N/A,#N/A,FALSE,"4WD"}</definedName>
    <definedName name="__PB004" hidden="1">{#N/A,#N/A,FALSE,"단축1";#N/A,#N/A,FALSE,"단축2";#N/A,#N/A,FALSE,"단축3";#N/A,#N/A,FALSE,"장축";#N/A,#N/A,FALSE,"4WD"}</definedName>
    <definedName name="__ppr1" hidden="1">{#N/A,#N/A,FALSE,"단축1";#N/A,#N/A,FALSE,"단축2";#N/A,#N/A,FALSE,"단축3";#N/A,#N/A,FALSE,"장축";#N/A,#N/A,FALSE,"4WD"}</definedName>
    <definedName name="__ppr2" hidden="1">{#N/A,#N/A,FALSE,"단축1";#N/A,#N/A,FALSE,"단축2";#N/A,#N/A,FALSE,"단축3";#N/A,#N/A,FALSE,"장축";#N/A,#N/A,FALSE,"4WD"}</definedName>
    <definedName name="__Q1" hidden="1">{#N/A,#N/A,FALSE,"단축1";#N/A,#N/A,FALSE,"단축2";#N/A,#N/A,FALSE,"단축3";#N/A,#N/A,FALSE,"장축";#N/A,#N/A,FALSE,"4WD"}</definedName>
    <definedName name="__SDW1" localSheetId="1" hidden="1">'[1]#REF'!#REF!</definedName>
    <definedName name="__SDW1" localSheetId="0" hidden="1">'[1]#REF'!#REF!</definedName>
    <definedName name="__SDW1" hidden="1">'[1]#REF'!#REF!</definedName>
    <definedName name="__T2" hidden="1">{#N/A,#N/A,FALSE,"단축1";#N/A,#N/A,FALSE,"단축2";#N/A,#N/A,FALSE,"단축3";#N/A,#N/A,FALSE,"장축";#N/A,#N/A,FALSE,"4WD"}</definedName>
    <definedName name="__T3" hidden="1">{#N/A,#N/A,FALSE,"단축1";#N/A,#N/A,FALSE,"단축2";#N/A,#N/A,FALSE,"단축3";#N/A,#N/A,FALSE,"장축";#N/A,#N/A,FALSE,"4WD"}</definedName>
    <definedName name="__T5" hidden="1">{#N/A,#N/A,FALSE,"단축1";#N/A,#N/A,FALSE,"단축2";#N/A,#N/A,FALSE,"단축3";#N/A,#N/A,FALSE,"장축";#N/A,#N/A,FALSE,"4WD"}</definedName>
    <definedName name="__tc1" hidden="1">{#N/A,#N/A,FALSE,"단축1";#N/A,#N/A,FALSE,"단축2";#N/A,#N/A,FALSE,"단축3";#N/A,#N/A,FALSE,"장축";#N/A,#N/A,FALSE,"4WD"}</definedName>
    <definedName name="__tc2" hidden="1">{#N/A,#N/A,FALSE,"단축1";#N/A,#N/A,FALSE,"단축2";#N/A,#N/A,FALSE,"단축3";#N/A,#N/A,FALSE,"장축";#N/A,#N/A,FALSE,"4WD"}</definedName>
    <definedName name="__tc3" hidden="1">{#N/A,#N/A,FALSE,"단축1";#N/A,#N/A,FALSE,"단축2";#N/A,#N/A,FALSE,"단축3";#N/A,#N/A,FALSE,"장축";#N/A,#N/A,FALSE,"4WD"}</definedName>
    <definedName name="_27A2040_" hidden="1">{#N/A,#N/A,FALSE,"단축1";#N/A,#N/A,FALSE,"단축2";#N/A,#N/A,FALSE,"단축3";#N/A,#N/A,FALSE,"장축";#N/A,#N/A,FALSE,"4WD"}</definedName>
    <definedName name="_29D6_" hidden="1">{"'표지'!$B$5"}</definedName>
    <definedName name="_32h1_" hidden="1">{"'표지'!$B$5"}</definedName>
    <definedName name="_34h2_" hidden="1">{"'표지'!$B$5"}</definedName>
    <definedName name="_36h3_" hidden="1">{"'표지'!$B$5"}</definedName>
    <definedName name="_38h4_" hidden="1">{"'표지'!$B$5"}</definedName>
    <definedName name="_40h5_" hidden="1">{"'표지'!$B$5"}</definedName>
    <definedName name="_44k7_" hidden="1">{#N/A,#N/A,FALSE,"단축1";#N/A,#N/A,FALSE,"단축2";#N/A,#N/A,FALSE,"단축3";#N/A,#N/A,FALSE,"장축";#N/A,#N/A,FALSE,"4WD"}</definedName>
    <definedName name="_46A2040_" hidden="1">{#N/A,#N/A,FALSE,"단축1";#N/A,#N/A,FALSE,"단축2";#N/A,#N/A,FALSE,"단축3";#N/A,#N/A,FALSE,"장축";#N/A,#N/A,FALSE,"4WD"}</definedName>
    <definedName name="_46k8_" hidden="1">{#N/A,#N/A,FALSE,"단축1";#N/A,#N/A,FALSE,"단축2";#N/A,#N/A,FALSE,"단축3";#N/A,#N/A,FALSE,"장축";#N/A,#N/A,FALSE,"4WD"}</definedName>
    <definedName name="_48k9_" hidden="1">{#N/A,#N/A,FALSE,"단축1";#N/A,#N/A,FALSE,"단축2";#N/A,#N/A,FALSE,"단축3";#N/A,#N/A,FALSE,"장축";#N/A,#N/A,FALSE,"4WD"}</definedName>
    <definedName name="_49D6_" hidden="1">{"'표지'!$B$5"}</definedName>
    <definedName name="_50P2_" hidden="1">{#N/A,#N/A,FALSE,"단축1";#N/A,#N/A,FALSE,"단축2";#N/A,#N/A,FALSE,"단축3";#N/A,#N/A,FALSE,"장축";#N/A,#N/A,FALSE,"4WD"}</definedName>
    <definedName name="_52Q1_" hidden="1">{#N/A,#N/A,FALSE,"단축1";#N/A,#N/A,FALSE,"단축2";#N/A,#N/A,FALSE,"단축3";#N/A,#N/A,FALSE,"장축";#N/A,#N/A,FALSE,"4WD"}</definedName>
    <definedName name="_54h1_" hidden="1">{"'표지'!$B$5"}</definedName>
    <definedName name="_54T2_" hidden="1">{#N/A,#N/A,FALSE,"단축1";#N/A,#N/A,FALSE,"단축2";#N/A,#N/A,FALSE,"단축3";#N/A,#N/A,FALSE,"장축";#N/A,#N/A,FALSE,"4WD"}</definedName>
    <definedName name="_56T3_" hidden="1">{#N/A,#N/A,FALSE,"단축1";#N/A,#N/A,FALSE,"단축2";#N/A,#N/A,FALSE,"단축3";#N/A,#N/A,FALSE,"장축";#N/A,#N/A,FALSE,"4WD"}</definedName>
    <definedName name="_57h2_" hidden="1">{"'표지'!$B$5"}</definedName>
    <definedName name="_58T5_" hidden="1">{#N/A,#N/A,FALSE,"단축1";#N/A,#N/A,FALSE,"단축2";#N/A,#N/A,FALSE,"단축3";#N/A,#N/A,FALSE,"장축";#N/A,#N/A,FALSE,"4WD"}</definedName>
    <definedName name="_60__0_S" localSheetId="1" hidden="1">#REF!</definedName>
    <definedName name="_60__0_S" localSheetId="0" hidden="1">#REF!</definedName>
    <definedName name="_60__0_S" hidden="1">#REF!</definedName>
    <definedName name="_60h3_" hidden="1">{"'표지'!$B$5"}</definedName>
    <definedName name="_63h4_" hidden="1">{"'표지'!$B$5"}</definedName>
    <definedName name="_66h5_" hidden="1">{"'표지'!$B$5"}</definedName>
    <definedName name="_71k7_" hidden="1">{#N/A,#N/A,FALSE,"단축1";#N/A,#N/A,FALSE,"단축2";#N/A,#N/A,FALSE,"단축3";#N/A,#N/A,FALSE,"장축";#N/A,#N/A,FALSE,"4WD"}</definedName>
    <definedName name="_74k8_" hidden="1">{#N/A,#N/A,FALSE,"단축1";#N/A,#N/A,FALSE,"단축2";#N/A,#N/A,FALSE,"단축3";#N/A,#N/A,FALSE,"장축";#N/A,#N/A,FALSE,"4WD"}</definedName>
    <definedName name="_77k9_" hidden="1">{#N/A,#N/A,FALSE,"단축1";#N/A,#N/A,FALSE,"단축2";#N/A,#N/A,FALSE,"단축3";#N/A,#N/A,FALSE,"장축";#N/A,#N/A,FALSE,"4WD"}</definedName>
    <definedName name="_80P2_" hidden="1">{#N/A,#N/A,FALSE,"단축1";#N/A,#N/A,FALSE,"단축2";#N/A,#N/A,FALSE,"단축3";#N/A,#N/A,FALSE,"장축";#N/A,#N/A,FALSE,"4WD"}</definedName>
    <definedName name="_83Q1_" hidden="1">{#N/A,#N/A,FALSE,"단축1";#N/A,#N/A,FALSE,"단축2";#N/A,#N/A,FALSE,"단축3";#N/A,#N/A,FALSE,"장축";#N/A,#N/A,FALSE,"4WD"}</definedName>
    <definedName name="_86T2_" hidden="1">{#N/A,#N/A,FALSE,"단축1";#N/A,#N/A,FALSE,"단축2";#N/A,#N/A,FALSE,"단축3";#N/A,#N/A,FALSE,"장축";#N/A,#N/A,FALSE,"4WD"}</definedName>
    <definedName name="_89T3_" hidden="1">{#N/A,#N/A,FALSE,"단축1";#N/A,#N/A,FALSE,"단축2";#N/A,#N/A,FALSE,"단축3";#N/A,#N/A,FALSE,"장축";#N/A,#N/A,FALSE,"4WD"}</definedName>
    <definedName name="_92T5_" hidden="1">{#N/A,#N/A,FALSE,"단축1";#N/A,#N/A,FALSE,"단축2";#N/A,#N/A,FALSE,"단축3";#N/A,#N/A,FALSE,"장축";#N/A,#N/A,FALSE,"4WD"}</definedName>
    <definedName name="_96__0_S" localSheetId="1" hidden="1">#REF!</definedName>
    <definedName name="_96__0_S" localSheetId="0" hidden="1">#REF!</definedName>
    <definedName name="_96__0_S" hidden="1">#REF!</definedName>
    <definedName name="_A2040" hidden="1">{#N/A,#N/A,FALSE,"단축1";#N/A,#N/A,FALSE,"단축2";#N/A,#N/A,FALSE,"단축3";#N/A,#N/A,FALSE,"장축";#N/A,#N/A,FALSE,"4WD"}</definedName>
    <definedName name="_D6" hidden="1">{"'표지'!$B$5"}</definedName>
    <definedName name="_Dist_Bin" localSheetId="1" hidden="1">#REF!</definedName>
    <definedName name="_Dist_Bin" localSheetId="0" hidden="1">#REF!</definedName>
    <definedName name="_Dist_Bin" hidden="1">#REF!</definedName>
    <definedName name="_Fill" localSheetId="1" hidden="1">#REF!</definedName>
    <definedName name="_Fill" localSheetId="0" hidden="1">#REF!</definedName>
    <definedName name="_Fill" hidden="1">#REF!</definedName>
    <definedName name="_xlnm._FilterDatabase" localSheetId="1" hidden="1">#REF!</definedName>
    <definedName name="_xlnm._FilterDatabase" localSheetId="0" hidden="1">#REF!</definedName>
    <definedName name="_xlnm._FilterDatabase" hidden="1">#REF!</definedName>
    <definedName name="_h1" hidden="1">{"'표지'!$B$5"}</definedName>
    <definedName name="_h2" hidden="1">{"'표지'!$B$5"}</definedName>
    <definedName name="_h3" hidden="1">{"'표지'!$B$5"}</definedName>
    <definedName name="_h4" hidden="1">{"'표지'!$B$5"}</definedName>
    <definedName name="_h5" hidden="1">{"'표지'!$B$5"}</definedName>
    <definedName name="_htt1" hidden="1">{"'표지'!$B$5"}</definedName>
    <definedName name="_k7" hidden="1">{#N/A,#N/A,FALSE,"단축1";#N/A,#N/A,FALSE,"단축2";#N/A,#N/A,FALSE,"단축3";#N/A,#N/A,FALSE,"장축";#N/A,#N/A,FALSE,"4WD"}</definedName>
    <definedName name="_k8" hidden="1">{#N/A,#N/A,FALSE,"단축1";#N/A,#N/A,FALSE,"단축2";#N/A,#N/A,FALSE,"단축3";#N/A,#N/A,FALSE,"장축";#N/A,#N/A,FALSE,"4WD"}</definedName>
    <definedName name="_k9" hidden="1">{#N/A,#N/A,FALSE,"단축1";#N/A,#N/A,FALSE,"단축2";#N/A,#N/A,FALSE,"단축3";#N/A,#N/A,FALSE,"장축";#N/A,#N/A,FALSE,"4WD"}</definedName>
    <definedName name="_Key1" localSheetId="1" hidden="1">[3]Sheet1!#REF!</definedName>
    <definedName name="_Key1" localSheetId="0" hidden="1">[3]Sheet1!#REF!</definedName>
    <definedName name="_Key1" hidden="1">[3]Sheet1!#REF!</definedName>
    <definedName name="_Key2" localSheetId="1" hidden="1">[3]Sheet1!#REF!</definedName>
    <definedName name="_Key2" localSheetId="0" hidden="1">[3]Sheet1!#REF!</definedName>
    <definedName name="_Key2" hidden="1">[3]Sheet1!#REF!</definedName>
    <definedName name="_LPS2" hidden="1">{#N/A,#N/A,FALSE,"단축1";#N/A,#N/A,FALSE,"단축2";#N/A,#N/A,FALSE,"단축3";#N/A,#N/A,FALSE,"장축";#N/A,#N/A,FALSE,"4WD"}</definedName>
    <definedName name="_Order1" hidden="1">255</definedName>
    <definedName name="_Order2" hidden="1">255</definedName>
    <definedName name="_P2" hidden="1">{#N/A,#N/A,FALSE,"단축1";#N/A,#N/A,FALSE,"단축2";#N/A,#N/A,FALSE,"단축3";#N/A,#N/A,FALSE,"장축";#N/A,#N/A,FALSE,"4WD"}</definedName>
    <definedName name="_Parse_Out" localSheetId="1" hidden="1">#REF!</definedName>
    <definedName name="_Parse_Out" localSheetId="0" hidden="1">#REF!</definedName>
    <definedName name="_Parse_Out" hidden="1">#REF!</definedName>
    <definedName name="_PB004" hidden="1">{#N/A,#N/A,FALSE,"단축1";#N/A,#N/A,FALSE,"단축2";#N/A,#N/A,FALSE,"단축3";#N/A,#N/A,FALSE,"장축";#N/A,#N/A,FALSE,"4WD"}</definedName>
    <definedName name="_ppr1" hidden="1">{#N/A,#N/A,FALSE,"단축1";#N/A,#N/A,FALSE,"단축2";#N/A,#N/A,FALSE,"단축3";#N/A,#N/A,FALSE,"장축";#N/A,#N/A,FALSE,"4WD"}</definedName>
    <definedName name="_ppr2" hidden="1">{#N/A,#N/A,FALSE,"단축1";#N/A,#N/A,FALSE,"단축2";#N/A,#N/A,FALSE,"단축3";#N/A,#N/A,FALSE,"장축";#N/A,#N/A,FALSE,"4WD"}</definedName>
    <definedName name="_Q1" hidden="1">{#N/A,#N/A,FALSE,"단축1";#N/A,#N/A,FALSE,"단축2";#N/A,#N/A,FALSE,"단축3";#N/A,#N/A,FALSE,"장축";#N/A,#N/A,FALSE,"4WD"}</definedName>
    <definedName name="_SDW1" localSheetId="1" hidden="1">'[1]#REF'!#REF!</definedName>
    <definedName name="_SDW1" localSheetId="0" hidden="1">'[1]#REF'!#REF!</definedName>
    <definedName name="_SDW1" hidden="1">'[1]#REF'!#REF!</definedName>
    <definedName name="_Sort" localSheetId="1" hidden="1">#REF!</definedName>
    <definedName name="_Sort" localSheetId="0" hidden="1">#REF!</definedName>
    <definedName name="_Sort" hidden="1">#REF!</definedName>
    <definedName name="_T2" hidden="1">{#N/A,#N/A,FALSE,"단축1";#N/A,#N/A,FALSE,"단축2";#N/A,#N/A,FALSE,"단축3";#N/A,#N/A,FALSE,"장축";#N/A,#N/A,FALSE,"4WD"}</definedName>
    <definedName name="_T3" hidden="1">{#N/A,#N/A,FALSE,"단축1";#N/A,#N/A,FALSE,"단축2";#N/A,#N/A,FALSE,"단축3";#N/A,#N/A,FALSE,"장축";#N/A,#N/A,FALSE,"4WD"}</definedName>
    <definedName name="_T5" hidden="1">{#N/A,#N/A,FALSE,"단축1";#N/A,#N/A,FALSE,"단축2";#N/A,#N/A,FALSE,"단축3";#N/A,#N/A,FALSE,"장축";#N/A,#N/A,FALSE,"4WD"}</definedName>
    <definedName name="_tc1" hidden="1">{#N/A,#N/A,FALSE,"단축1";#N/A,#N/A,FALSE,"단축2";#N/A,#N/A,FALSE,"단축3";#N/A,#N/A,FALSE,"장축";#N/A,#N/A,FALSE,"4WD"}</definedName>
    <definedName name="_tc2" hidden="1">{#N/A,#N/A,FALSE,"단축1";#N/A,#N/A,FALSE,"단축2";#N/A,#N/A,FALSE,"단축3";#N/A,#N/A,FALSE,"장축";#N/A,#N/A,FALSE,"4WD"}</definedName>
    <definedName name="_tc3" hidden="1">{#N/A,#N/A,FALSE,"단축1";#N/A,#N/A,FALSE,"단축2";#N/A,#N/A,FALSE,"단축3";#N/A,#N/A,FALSE,"장축";#N/A,#N/A,FALSE,"4WD"}</definedName>
    <definedName name="A1_00근거" hidden="1">{#N/A,#N/A,FALSE,"단축1";#N/A,#N/A,FALSE,"단축2";#N/A,#N/A,FALSE,"단축3";#N/A,#N/A,FALSE,"장축";#N/A,#N/A,FALSE,"4WD"}</definedName>
    <definedName name="a2.5미진사항" hidden="1">{#N/A,#N/A,FALSE,"단축1";#N/A,#N/A,FALSE,"단축2";#N/A,#N/A,FALSE,"단축3";#N/A,#N/A,FALSE,"장축";#N/A,#N/A,FALSE,"4WD"}</definedName>
    <definedName name="aaaaaaaaa" hidden="1">{"Acq_matrix",#N/A,FALSE,"Acquisition Matrix"}</definedName>
    <definedName name="AAS" hidden="1">{#N/A,#N/A,FALSE,"단축1";#N/A,#N/A,FALSE,"단축2";#N/A,#N/A,FALSE,"단축3";#N/A,#N/A,FALSE,"장축";#N/A,#N/A,FALSE,"4WD"}</definedName>
    <definedName name="abcdeff" hidden="1">{#N/A,#N/A,FALSE,"단축1";#N/A,#N/A,FALSE,"단축2";#N/A,#N/A,FALSE,"단축3";#N/A,#N/A,FALSE,"장축";#N/A,#N/A,FALSE,"4WD"}</definedName>
    <definedName name="Access_Button" hidden="1">"F분석표_1_100_List"</definedName>
    <definedName name="AccessDatabase" hidden="1">"C:\생산판매\long98\9802장판원본.mdb"</definedName>
    <definedName name="acd" hidden="1">{#N/A,#N/A,FALSE,"단축1";#N/A,#N/A,FALSE,"단축2";#N/A,#N/A,FALSE,"단축3";#N/A,#N/A,FALSE,"장축";#N/A,#N/A,FALSE,"4WD"}</definedName>
    <definedName name="adc" hidden="1">{#N/A,#N/A,FALSE,"단축1";#N/A,#N/A,FALSE,"단축2";#N/A,#N/A,FALSE,"단축3";#N/A,#N/A,FALSE,"장축";#N/A,#N/A,FALSE,"4WD"}</definedName>
    <definedName name="adcc" hidden="1">{#N/A,#N/A,FALSE,"단축1";#N/A,#N/A,FALSE,"단축2";#N/A,#N/A,FALSE,"단축3";#N/A,#N/A,FALSE,"장축";#N/A,#N/A,FALSE,"4WD"}</definedName>
    <definedName name="adr" hidden="1">{#N/A,#N/A,FALSE,"단축1";#N/A,#N/A,FALSE,"단축2";#N/A,#N/A,FALSE,"단축3";#N/A,#N/A,FALSE,"장축";#N/A,#N/A,FALSE,"4WD"}</definedName>
    <definedName name="ADSDF" hidden="1">{#N/A,#N/A,TRUE,"Y생산";#N/A,#N/A,TRUE,"Y판매";#N/A,#N/A,TRUE,"Y총물량";#N/A,#N/A,TRUE,"Y능력";#N/A,#N/A,TRUE,"YKD"}</definedName>
    <definedName name="AL" hidden="1">{#N/A,#N/A,FALSE,"단축1";#N/A,#N/A,FALSE,"단축2";#N/A,#N/A,FALSE,"단축3";#N/A,#N/A,FALSE,"장축";#N/A,#N/A,FALSE,"4WD"}</definedName>
    <definedName name="asd" hidden="1">{"qchm_dcf",#N/A,FALSE,"QCHMDCF2";"qchm_terminal",#N/A,FALSE,"QCHMDCF2"}</definedName>
    <definedName name="asdasd" hidden="1">{"qchm_dcf",#N/A,FALSE,"QCHMDCF2";"qchm_terminal",#N/A,FALSE,"QCHMDCF2"}</definedName>
    <definedName name="asdf" hidden="1">{"AQUIRORDCF",#N/A,FALSE,"Merger consequences";"Acquirorassns",#N/A,FALSE,"Merger consequences"}</definedName>
    <definedName name="asdfdas" hidden="1">{"qchm_dcf",#N/A,FALSE,"QCHMDCF2";"qchm_terminal",#N/A,FALSE,"QCHMDCF2"}</definedName>
    <definedName name="asdgfds" hidden="1">{"targetdcf",#N/A,FALSE,"Merger consequences";"TARGETASSU",#N/A,FALSE,"Merger consequences";"TERMINAL VALUE",#N/A,FALSE,"Merger consequences"}</definedName>
    <definedName name="ASQ" hidden="1">{#N/A,#N/A,FALSE,"총괄수정"}</definedName>
    <definedName name="ASSY" hidden="1">{#N/A,#N/A,FALSE,"단축1";#N/A,#N/A,FALSE,"단축2";#N/A,#N/A,FALSE,"단축3";#N/A,#N/A,FALSE,"장축";#N/A,#N/A,FALSE,"4WD"}</definedName>
    <definedName name="BL" hidden="1">{#N/A,#N/A,FALSE,"신규dep";#N/A,#N/A,FALSE,"신규dep-금형상각후";#N/A,#N/A,FALSE,"신규dep-연구비상각후";#N/A,#N/A,FALSE,"신규dep-기계,공구상각후"}</definedName>
    <definedName name="book1" hidden="1">{#N/A,#N/A,TRUE,"Y생산";#N/A,#N/A,TRUE,"Y판매";#N/A,#N/A,TRUE,"Y총물량";#N/A,#N/A,TRUE,"Y능력";#N/A,#N/A,TRUE,"YKD"}</definedName>
    <definedName name="CAE해석" hidden="1">{#N/A,#N/A,FALSE,"단축1";#N/A,#N/A,FALSE,"단축2";#N/A,#N/A,FALSE,"단축3";#N/A,#N/A,FALSE,"장축";#N/A,#N/A,FALSE,"4WD"}</definedName>
    <definedName name="CAP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bk" hidden="1">{"'표지'!$B$5"}</definedName>
    <definedName name="consulgin" hidden="1">{"'Price List '!$A$1:$R$156"}</definedName>
    <definedName name="dfgdfhdfgjg" hidden="1">{"targetdcf",#N/A,FALSE,"Merger consequences";"TARGETASSU",#N/A,FALSE,"Merger consequences";"TERMINAL VALUE",#N/A,FALSE,"Merger consequences"}</definedName>
    <definedName name="dfgfds" hidden="1">{"AQUIRORDCF",#N/A,FALSE,"Merger consequences";"Acquirorassns",#N/A,FALSE,"Merger consequences"}</definedName>
    <definedName name="dfghdfg" hidden="1">{"targetdcf",#N/A,FALSE,"Merger consequences";"TARGETASSU",#N/A,FALSE,"Merger consequences";"TERMINAL VALUE",#N/A,FALSE,"Merger consequences"}</definedName>
    <definedName name="dfgssss" hidden="1">{"qchm_dcf",#N/A,FALSE,"QCHMDCF2";"qchm_terminal",#N/A,FALSE,"QCHMDCF2"}</definedName>
    <definedName name="DFS" hidden="1">{#N/A,#N/A,FALSE,"단축1";#N/A,#N/A,FALSE,"단축2";#N/A,#N/A,FALSE,"단축3";#N/A,#N/A,FALSE,"장축";#N/A,#N/A,FALSE,"4WD"}</definedName>
    <definedName name="dfsg" hidden="1">{"AQUIRORDCF",#N/A,FALSE,"Merger consequences";"Acquirorassns",#N/A,FALSE,"Merger consequences"}</definedName>
    <definedName name="dfssdss" hidden="1">{"targetdcf",#N/A,FALSE,"Merger consequences";"TARGETASSU",#N/A,FALSE,"Merger consequences";"TERMINAL VALUE",#N/A,FALSE,"Merger consequences"}</definedName>
    <definedName name="dgeG4" localSheetId="1" hidden="1">'[2]F4-F7'!#REF!</definedName>
    <definedName name="dgeG4" localSheetId="0" hidden="1">'[2]F4-F7'!#REF!</definedName>
    <definedName name="dgeG4" hidden="1">'[2]F4-F7'!#REF!</definedName>
    <definedName name="dgfhfghg" hidden="1">{"targetdcf",#N/A,FALSE,"Merger consequences";"TARGETASSU",#N/A,FALSE,"Merger consequences";"TERMINAL VALUE",#N/A,FALSE,"Merger consequences"}</definedName>
    <definedName name="DGSGFCFHDF" hidden="1">{#N/A,#N/A,FALSE,"단축1";#N/A,#N/A,FALSE,"단축2";#N/A,#N/A,FALSE,"단축3";#N/A,#N/A,FALSE,"장축";#N/A,#N/A,FALSE,"4WD"}</definedName>
    <definedName name="dhdg" hidden="1">{"qchm_dcf",#N/A,FALSE,"QCHMDCF2";"qchm_terminal",#N/A,FALSE,"QCHMDCF2"}</definedName>
    <definedName name="dhdh" hidden="1">{"'표지'!$B$5"}</definedName>
    <definedName name="dhjgdfhj" hidden="1">{"targetdcf",#N/A,FALSE,"Merger consequences";"TARGETASSU",#N/A,FALSE,"Merger consequences";"TERMINAL VALUE",#N/A,FALSE,"Merger consequences"}</definedName>
    <definedName name="DIE" hidden="1">{#N/A,#N/A,FALSE,"단축1";#N/A,#N/A,FALSE,"단축2";#N/A,#N/A,FALSE,"단축3";#N/A,#N/A,FALSE,"장축";#N/A,#N/A,FALSE,"4WD"}</definedName>
    <definedName name="DIESEL" hidden="1">{#N/A,#N/A,FALSE,"단축1";#N/A,#N/A,FALSE,"단축2";#N/A,#N/A,FALSE,"단축3";#N/A,#N/A,FALSE,"장축";#N/A,#N/A,FALSE,"4WD"}</definedName>
    <definedName name="DIESELLL" hidden="1">{#N/A,#N/A,FALSE,"단축1";#N/A,#N/A,FALSE,"단축2";#N/A,#N/A,FALSE,"단축3";#N/A,#N/A,FALSE,"장축";#N/A,#N/A,FALSE,"4WD"}</definedName>
    <definedName name="DJ" localSheetId="1" hidden="1">[4]CAUDIT!#REF!</definedName>
    <definedName name="DJ" localSheetId="0" hidden="1">[4]CAUDIT!#REF!</definedName>
    <definedName name="DJ" hidden="1">[4]CAUDIT!#REF!</definedName>
    <definedName name="djhsdh" hidden="1">{"'표지'!$B$5"}</definedName>
    <definedName name="dkdkdk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KSLDH" hidden="1">{#N/A,#N/A,FALSE,"단축1";#N/A,#N/A,FALSE,"단축2";#N/A,#N/A,FALSE,"단축3";#N/A,#N/A,FALSE,"장축";#N/A,#N/A,FALSE,"4WD"}</definedName>
    <definedName name="DLS" hidden="1">{#N/A,#N/A,TRUE,"Y생산";#N/A,#N/A,TRUE,"Y판매";#N/A,#N/A,TRUE,"Y총물량";#N/A,#N/A,TRUE,"Y능력";#N/A,#N/A,TRUE,"YKD"}</definedName>
    <definedName name="DRIVE" hidden="1">{#N/A,#N/A,FALSE,"단축1";#N/A,#N/A,FALSE,"단축2";#N/A,#N/A,FALSE,"단축3";#N/A,#N/A,FALSE,"장축";#N/A,#N/A,FALSE,"4WD"}</definedName>
    <definedName name="DRIVEABILITY" hidden="1">{#N/A,#N/A,FALSE,"단축1";#N/A,#N/A,FALSE,"단축2";#N/A,#N/A,FALSE,"단축3";#N/A,#N/A,FALSE,"장축";#N/A,#N/A,FALSE,"4WD"}</definedName>
    <definedName name="ds" hidden="1">{"AQUIRORDCF",#N/A,FALSE,"Merger consequences";"Acquirorassns",#N/A,FALSE,"Merger consequences"}</definedName>
    <definedName name="dsafsdf" hidden="1">{"targetdcf",#N/A,FALSE,"Merger consequences";"TARGETASSU",#N/A,FALSE,"Merger consequences";"TERMINAL VALUE",#N/A,FALSE,"Merger consequences"}</definedName>
    <definedName name="dsffsg" hidden="1">{"targetdcf",#N/A,FALSE,"Merger consequences";"TARGETASSU",#N/A,FALSE,"Merger consequences";"TERMINAL VALUE",#N/A,FALSE,"Merger consequences"}</definedName>
    <definedName name="dsfg" hidden="1">{"qchm_dcf",#N/A,FALSE,"QCHMDCF2";"qchm_terminal",#N/A,FALSE,"QCHMDCF2"}</definedName>
    <definedName name="dsfgf" hidden="1">{"AQUIRORDCF",#N/A,FALSE,"Merger consequences";"Acquirorassns",#N/A,FALSE,"Merger consequences"}</definedName>
    <definedName name="dsfgfs" hidden="1">{"qchm_dcf",#N/A,FALSE,"QCHMDCF2";"qchm_terminal",#N/A,FALSE,"QCHMDCF2"}</definedName>
    <definedName name="DSFHDFL" localSheetId="1" hidden="1">#REF!</definedName>
    <definedName name="DSFHDFL" localSheetId="0" hidden="1">#REF!</definedName>
    <definedName name="DSFHDFL" hidden="1">#REF!</definedName>
    <definedName name="DSL" hidden="1">{#N/A,#N/A,FALSE,"단축1";#N/A,#N/A,FALSE,"단축2";#N/A,#N/A,FALSE,"단축3";#N/A,#N/A,FALSE,"장축";#N/A,#N/A,FALSE,"4WD"}</definedName>
    <definedName name="E" hidden="1">{#N/A,#N/A,TRUE,"Y생산";#N/A,#N/A,TRUE,"Y판매";#N/A,#N/A,TRUE,"Y총물량";#N/A,#N/A,TRUE,"Y능력";#N/A,#N/A,TRUE,"YKD"}</definedName>
    <definedName name="EF제동" hidden="1">{#N/A,#N/A,FALSE,"단축1";#N/A,#N/A,FALSE,"단축2";#N/A,#N/A,FALSE,"단축3";#N/A,#N/A,FALSE,"장축";#N/A,#N/A,FALSE,"4WD"}</definedName>
    <definedName name="ENG" localSheetId="1" hidden="1">'[1]#REF'!#REF!</definedName>
    <definedName name="ENG" localSheetId="0" hidden="1">'[1]#REF'!#REF!</definedName>
    <definedName name="ENG" hidden="1">'[1]#REF'!#REF!</definedName>
    <definedName name="EO계획" localSheetId="1" hidden="1">#REF!</definedName>
    <definedName name="EO계획" localSheetId="0" hidden="1">#REF!</definedName>
    <definedName name="EO계획" hidden="1">#REF!</definedName>
    <definedName name="ERRE" hidden="1">{#N/A,#N/A,FALSE,"단축1";#N/A,#N/A,FALSE,"단축2";#N/A,#N/A,FALSE,"단축3";#N/A,#N/A,FALSE,"장축";#N/A,#N/A,FALSE,"4WD"}</definedName>
    <definedName name="F" hidden="1">{#N/A,#N/A,FALSE,"96 3월물량표";#N/A,#N/A,FALSE,"96 4월물량표";#N/A,#N/A,FALSE,"96 5월물량표"}</definedName>
    <definedName name="fdd" hidden="1">{"targetdcf",#N/A,FALSE,"Merger consequences";"TARGETASSU",#N/A,FALSE,"Merger consequences";"TERMINAL VALUE",#N/A,FALSE,"Merger consequences"}</definedName>
    <definedName name="fdgfdsg" hidden="1">{"qchm_dcf",#N/A,FALSE,"QCHMDCF2";"qchm_terminal",#N/A,FALSE,"QCHMDCF2"}</definedName>
    <definedName name="fdghdf" hidden="1">{"Acq_matrix",#N/A,FALSE,"Acquisition Matrix"}</definedName>
    <definedName name="fdgsg" hidden="1">{"qchm_dcf",#N/A,FALSE,"QCHMDCF2";"qchm_terminal",#N/A,FALSE,"QCHMDCF2"}</definedName>
    <definedName name="fdgss" hidden="1">{"qchm_dcf",#N/A,FALSE,"QCHMDCF2";"qchm_terminal",#N/A,FALSE,"QCHMDCF2"}</definedName>
    <definedName name="fdsfg" hidden="1">{"Acq_matrix",#N/A,FALSE,"Acquisition Matrix"}</definedName>
    <definedName name="fdsggg" hidden="1">{"targetdcf",#N/A,FALSE,"Merger consequences";"TARGETASSU",#N/A,FALSE,"Merger consequences";"TERMINAL VALUE",#N/A,FALSE,"Merger consequences"}</definedName>
    <definedName name="fdsgsddgf" hidden="1">{"qchm_dcf",#N/A,FALSE,"QCHMDCF2";"qchm_terminal",#N/A,FALSE,"QCHMDCF2"}</definedName>
    <definedName name="FFG" hidden="1">{#N/A,#N/A,FALSE,"단축1";#N/A,#N/A,FALSE,"단축2";#N/A,#N/A,FALSE,"단축3";#N/A,#N/A,FALSE,"장축";#N/A,#N/A,FALSE,"4WD"}</definedName>
    <definedName name="fgds" hidden="1">{"qchm_dcf",#N/A,FALSE,"QCHMDCF2";"qchm_terminal",#N/A,FALSE,"QCHMDCF2"}</definedName>
    <definedName name="fgfgf" hidden="1">{#N/A,#N/A,FALSE,"단축1";#N/A,#N/A,FALSE,"단축2";#N/A,#N/A,FALSE,"단축3";#N/A,#N/A,FALSE,"장축";#N/A,#N/A,FALSE,"4WD"}</definedName>
    <definedName name="fgfgfg" hidden="1">{#N/A,#N/A,FALSE,"단축1";#N/A,#N/A,FALSE,"단축2";#N/A,#N/A,FALSE,"단축3";#N/A,#N/A,FALSE,"장축";#N/A,#N/A,FALSE,"4WD"}</definedName>
    <definedName name="FGH" hidden="1">{#N/A,#N/A,FALSE,"단축1";#N/A,#N/A,FALSE,"단축2";#N/A,#N/A,FALSE,"단축3";#N/A,#N/A,FALSE,"장축";#N/A,#N/A,FALSE,"4WD"}</definedName>
    <definedName name="FILE" hidden="1">{#N/A,#N/A,FALSE,"단축1";#N/A,#N/A,FALSE,"단축2";#N/A,#N/A,FALSE,"단축3";#N/A,#N/A,FALSE,"장축";#N/A,#N/A,FALSE,"4WD"}</definedName>
    <definedName name="FILES" hidden="1">{#N/A,#N/A,FALSE,"단축1";#N/A,#N/A,FALSE,"단축2";#N/A,#N/A,FALSE,"단축3";#N/A,#N/A,FALSE,"장축";#N/A,#N/A,FALSE,"4WD"}</definedName>
    <definedName name="fkla" hidden="1">{#N/A,#N/A,TRUE,"Y생산";#N/A,#N/A,TRUE,"Y판매";#N/A,#N/A,TRUE,"Y총물량";#N/A,#N/A,TRUE,"Y능력";#N/A,#N/A,TRUE,"YKD"}</definedName>
    <definedName name="FO투입시UPH조정" hidden="1">{#N/A,#N/A,FALSE,"단축1";#N/A,#N/A,FALSE,"단축2";#N/A,#N/A,FALSE,"단축3";#N/A,#N/A,FALSE,"장축";#N/A,#N/A,FALSE,"4WD"}</definedName>
    <definedName name="FREEWHEEL" localSheetId="1" hidden="1">#REF!</definedName>
    <definedName name="FREEWHEEL" localSheetId="0" hidden="1">#REF!</definedName>
    <definedName name="FREEWHEEL" hidden="1">#REF!</definedName>
    <definedName name="g54987d456w" localSheetId="1" hidden="1">#REF!</definedName>
    <definedName name="g54987d456w" localSheetId="0" hidden="1">#REF!</definedName>
    <definedName name="g54987d456w" hidden="1">#REF!</definedName>
    <definedName name="gdf" hidden="1">{"AQUIRORDCF",#N/A,FALSE,"Merger consequences";"Acquirorassns",#N/A,FALSE,"Merger consequences"}</definedName>
    <definedName name="gewegwefwaq879452" localSheetId="1" hidden="1">#REF!</definedName>
    <definedName name="gewegwefwaq879452" localSheetId="0" hidden="1">#REF!</definedName>
    <definedName name="gewegwefwaq879452" hidden="1">#REF!</definedName>
    <definedName name="gfd" hidden="1">{"targetdcf",#N/A,FALSE,"Merger consequences";"TARGETASSU",#N/A,FALSE,"Merger consequences";"TERMINAL VALUE",#N/A,FALSE,"Merger consequences"}</definedName>
    <definedName name="gfddddddddd" hidden="1">{"Acq_matrix",#N/A,FALSE,"Acquisition Matrix"}</definedName>
    <definedName name="gfdhd" hidden="1">{"targetdcf",#N/A,FALSE,"Merger consequences";"TARGETASSU",#N/A,FALSE,"Merger consequences";"TERMINAL VALUE",#N/A,FALSE,"Merger consequences"}</definedName>
    <definedName name="gfdhddfh" hidden="1">{"qchm_dcf",#N/A,FALSE,"QCHMDCF2";"qchm_terminal",#N/A,FALSE,"QCHMDCF2"}</definedName>
    <definedName name="gfdhdf" hidden="1">{"targetdcf",#N/A,FALSE,"Merger consequences";"TARGETASSU",#N/A,FALSE,"Merger consequences";"TERMINAL VALUE",#N/A,FALSE,"Merger consequences"}</definedName>
    <definedName name="gfdhdfg" hidden="1">{"targetdcf",#N/A,FALSE,"Merger consequences";"TARGETASSU",#N/A,FALSE,"Merger consequences";"TERMINAL VALUE",#N/A,FALSE,"Merger consequences"}</definedName>
    <definedName name="gfdhdfgh" hidden="1">{"targetdcf",#N/A,FALSE,"Merger consequences";"TARGETASSU",#N/A,FALSE,"Merger consequences";"TERMINAL VALUE",#N/A,FALSE,"Merger consequences"}</definedName>
    <definedName name="gfdhdgf" hidden="1">{"qchm_dcf",#N/A,FALSE,"QCHMDCF2";"qchm_terminal",#N/A,FALSE,"QCHMDCF2"}</definedName>
    <definedName name="gfdhgdfg" hidden="1">{"AQUIRORDCF",#N/A,FALSE,"Merger consequences";"Acquirorassns",#N/A,FALSE,"Merger consequences"}</definedName>
    <definedName name="gffffffffffff" hidden="1">{"targetdcf",#N/A,FALSE,"Merger consequences";"TARGETASSU",#N/A,FALSE,"Merger consequences";"TERMINAL VALUE",#N/A,FALSE,"Merger consequences"}</definedName>
    <definedName name="gfg" hidden="1">{#N/A,#N/A,FALSE,"단축1";#N/A,#N/A,FALSE,"단축2";#N/A,#N/A,FALSE,"단축3";#N/A,#N/A,FALSE,"장축";#N/A,#N/A,FALSE,"4WD"}</definedName>
    <definedName name="gfgf" hidden="1">{#N/A,#N/A,FALSE,"단축1";#N/A,#N/A,FALSE,"단축2";#N/A,#N/A,FALSE,"단축3";#N/A,#N/A,FALSE,"장축";#N/A,#N/A,FALSE,"4WD"}</definedName>
    <definedName name="gfhdfg" hidden="1">{"AQUIRORDCF",#N/A,FALSE,"Merger consequences";"Acquirorassns",#N/A,FALSE,"Merger consequences"}</definedName>
    <definedName name="gfhdgf" hidden="1">{"targetdcf",#N/A,FALSE,"Merger consequences";"TARGETASSU",#N/A,FALSE,"Merger consequences";"TERMINAL VALUE",#N/A,FALSE,"Merger consequences"}</definedName>
    <definedName name="GFJDGKCVNCB" hidden="1">{#N/A,#N/A,FALSE,"단축1";#N/A,#N/A,FALSE,"단축2";#N/A,#N/A,FALSE,"단축3";#N/A,#N/A,FALSE,"장축";#N/A,#N/A,FALSE,"4WD"}</definedName>
    <definedName name="gfld" hidden="1">{#N/A,#N/A,TRUE,"Y생산";#N/A,#N/A,TRUE,"Y판매";#N/A,#N/A,TRUE,"Y총물량";#N/A,#N/A,TRUE,"Y능력";#N/A,#N/A,TRUE,"YKD"}</definedName>
    <definedName name="GGG" hidden="1">{#N/A,#N/A,FALSE,"단축1";#N/A,#N/A,FALSE,"단축2";#N/A,#N/A,FALSE,"단축3";#N/A,#N/A,FALSE,"장축";#N/A,#N/A,FALSE,"4WD"}</definedName>
    <definedName name="GGGG" hidden="1">{#N/A,#N/A,FALSE,"단축1";#N/A,#N/A,FALSE,"단축2";#N/A,#N/A,FALSE,"단축3";#N/A,#N/A,FALSE,"장축";#N/A,#N/A,FALSE,"4WD"}</definedName>
    <definedName name="GGGGG" hidden="1">{#N/A,#N/A,FALSE,"단축1";#N/A,#N/A,FALSE,"단축2";#N/A,#N/A,FALSE,"단축3";#N/A,#N/A,FALSE,"장축";#N/A,#N/A,FALSE,"4WD"}</definedName>
    <definedName name="ggghh" hidden="1">{#N/A,#N/A,FALSE,"단축1";#N/A,#N/A,FALSE,"단축2";#N/A,#N/A,FALSE,"단축3";#N/A,#N/A,FALSE,"장축";#N/A,#N/A,FALSE,"4WD"}</definedName>
    <definedName name="ghhhh" hidden="1">{#N/A,#N/A,FALSE,"단축1";#N/A,#N/A,FALSE,"단축2";#N/A,#N/A,FALSE,"단축3";#N/A,#N/A,FALSE,"장축";#N/A,#N/A,FALSE,"4WD"}</definedName>
    <definedName name="ghjhf" hidden="1">{"qchm_dcf",#N/A,FALSE,"QCHMDCF2";"qchm_terminal",#N/A,FALSE,"QCHMDCF2"}</definedName>
    <definedName name="GHUTGHF" hidden="1">{#N/A,#N/A,FALSE,"96 3월물량표";#N/A,#N/A,FALSE,"96 4월물량표";#N/A,#N/A,FALSE,"96 5월물량표"}</definedName>
    <definedName name="GK" hidden="1">{#N/A,#N/A,FALSE,"총괄수정"}</definedName>
    <definedName name="grhgfhf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GUKMSDF" hidden="1">{#N/A,#N/A,FALSE,"단축1";#N/A,#N/A,FALSE,"단축2";#N/A,#N/A,FALSE,"단축3";#N/A,#N/A,FALSE,"장축";#N/A,#N/A,FALSE,"4WD"}</definedName>
    <definedName name="gun" hidden="1">{#N/A,#N/A,FALSE,"단축1";#N/A,#N/A,FALSE,"단축2";#N/A,#N/A,FALSE,"단축3";#N/A,#N/A,FALSE,"장축";#N/A,#N/A,FALSE,"4WD"}</definedName>
    <definedName name="GZDHN" hidden="1">{#N/A,#N/A,FALSE,"단축1";#N/A,#N/A,FALSE,"단축2";#N/A,#N/A,FALSE,"단축3";#N/A,#N/A,FALSE,"장축";#N/A,#N/A,FALSE,"4WD"}</definedName>
    <definedName name="HFG" hidden="1">{#N/A,#N/A,TRUE,"Y생산";#N/A,#N/A,TRUE,"Y판매";#N/A,#N/A,TRUE,"Y총물량";#N/A,#N/A,TRUE,"Y능력";#N/A,#N/A,TRUE,"YKD"}</definedName>
    <definedName name="hggj" hidden="1">{"qchm_dcf",#N/A,FALSE,"QCHMDCF2";"qchm_terminal",#N/A,FALSE,"QCHMDCF2"}</definedName>
    <definedName name="hghgfgh" hidden="1">{"AQUIRORDCF",#N/A,FALSE,"Merger consequences";"Acquirorassns",#N/A,FALSE,"Merger consequences"}</definedName>
    <definedName name="hgjfgh" hidden="1">{"qchm_dcf",#N/A,FALSE,"QCHMDCF2";"qchm_terminal",#N/A,FALSE,"QCHMDCF2"}</definedName>
    <definedName name="hgjfgjfgh" hidden="1">{"qchm_dcf",#N/A,FALSE,"QCHMDCF2";"qchm_terminal",#N/A,FALSE,"QCHMDCF2"}</definedName>
    <definedName name="hhg" hidden="1">{#N/A,#N/A,FALSE,"단축1";#N/A,#N/A,FALSE,"단축2";#N/A,#N/A,FALSE,"단축3";#N/A,#N/A,FALSE,"장축";#N/A,#N/A,FALSE,"4WD"}</definedName>
    <definedName name="HHHHHHH" hidden="1">{#N/A,#N/A,FALSE,"단축1";#N/A,#N/A,FALSE,"단축2";#N/A,#N/A,FALSE,"단축3";#N/A,#N/A,FALSE,"장축";#N/A,#N/A,FALSE,"4WD"}</definedName>
    <definedName name="HHHHHHVGGFGFG" hidden="1">{#N/A,#N/A,FALSE,"단축1";#N/A,#N/A,FALSE,"단축2";#N/A,#N/A,FALSE,"단축3";#N/A,#N/A,FALSE,"장축";#N/A,#N/A,FALSE,"4WD"}</definedName>
    <definedName name="hj" hidden="1">{"targetdcf",#N/A,FALSE,"Merger consequences";"TARGETASSU",#N/A,FALSE,"Merger consequences";"TERMINAL VALUE",#N/A,FALSE,"Merger consequences"}</definedName>
    <definedName name="hjfdg" hidden="1">{"qchm_dcf",#N/A,FALSE,"QCHMDCF2";"qchm_terminal",#N/A,FALSE,"QCHMDCF2"}</definedName>
    <definedName name="HJJ" hidden="1">{#N/A,#N/A,FALSE,"단축1";#N/A,#N/A,FALSE,"단축2";#N/A,#N/A,FALSE,"단축3";#N/A,#N/A,FALSE,"장축";#N/A,#N/A,FALSE,"4WD"}</definedName>
    <definedName name="hjjf" hidden="1">{"AQUIRORDCF",#N/A,FALSE,"Merger consequences";"Acquirorassns",#N/A,FALSE,"Merger consequences"}</definedName>
    <definedName name="hong" hidden="1">{#N/A,#N/A,FALSE,"단축1";#N/A,#N/A,FALSE,"단축2";#N/A,#N/A,FALSE,"단축3";#N/A,#N/A,FALSE,"장축";#N/A,#N/A,FALSE,"4WD"}</definedName>
    <definedName name="hpv" hidden="1">{#N/A,#N/A,FALSE,"단축1";#N/A,#N/A,FALSE,"단축2";#N/A,#N/A,FALSE,"단축3";#N/A,#N/A,FALSE,"장축";#N/A,#N/A,FALSE,"4WD"}</definedName>
    <definedName name="ht" hidden="1">{"'표지'!$B$5"}</definedName>
    <definedName name="HTML_CodePage" hidden="1">1252</definedName>
    <definedName name="HTML_Control" hidden="1">{"'Price List '!$A$1:$R$156"}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"C:\Temp\infoprice\051900\MyHTML.htm"</definedName>
    <definedName name="HTML_Title" hidden="1">"ePL5_19b"</definedName>
    <definedName name="HTML1_1" hidden="1">"'[디자인MXE1.xls]마북OCTANE (2)'!$A$1:$G$33"</definedName>
    <definedName name="HTML1_10" hidden="1">""</definedName>
    <definedName name="HTML1_11" hidden="1">1</definedName>
    <definedName name="HTML1_12" hidden="1">"C:\견적\현대정공\MyHTML.htm"</definedName>
    <definedName name="HTML1_2" hidden="1">1</definedName>
    <definedName name="HTML1_3" hidden="1">"디자인MXE1.xl"</definedName>
    <definedName name="HTML1_4" hidden="1">"마북OCTANE (2)"</definedName>
    <definedName name="HTML1_5" hidden="1">""</definedName>
    <definedName name="HTML1_6" hidden="1">-4146</definedName>
    <definedName name="HTML1_7" hidden="1">-4146</definedName>
    <definedName name="HTML1_8" hidden="1">"98-03-30"</definedName>
    <definedName name="HTML1_9" hidden="1">"임양택"</definedName>
    <definedName name="htmlControl2" hidden="1">{"'표지'!$B$5"}</definedName>
    <definedName name="HTMLCount" hidden="1">1</definedName>
    <definedName name="HYU" hidden="1">{#N/A,#N/A,FALSE,"유첨3-1";#N/A,#N/A,FALSE,"3-2";#N/A,#N/A,FALSE,"3-3";#N/A,#N/A,FALSE,"3-4";#N/A,#N/A,FALSE,"3-5";#N/A,#N/A,FALSE,"3-6";#N/A,#N/A,FALSE,"3-7";#N/A,#N/A,FALSE,"3-8"}</definedName>
    <definedName name="ic" hidden="1">{#N/A,#N/A,FALSE,"단축1";#N/A,#N/A,FALSE,"단축2";#N/A,#N/A,FALSE,"단축3";#N/A,#N/A,FALSE,"장축";#N/A,#N/A,FALSE,"4WD"}</definedName>
    <definedName name="iss_option" localSheetId="1">#REF!</definedName>
    <definedName name="iss_option" localSheetId="0">#REF!</definedName>
    <definedName name="iss_option">#REF!</definedName>
    <definedName name="iss_pn" localSheetId="1">#REF!</definedName>
    <definedName name="iss_pn" localSheetId="0">#REF!</definedName>
    <definedName name="iss_pn">#REF!</definedName>
    <definedName name="j" hidden="1">{#N/A,#N/A,TRUE,"손익현황";#N/A,#N/A,TRUE,"재무현황";#N/A,#N/A,TRUE,"자금운용";#N/A,#N/A,TRUE,"현금흐름";#N/A,#N/A,TRUE,"판매현황";#N/A,#N/A,TRUE,"생산현황";#N/A,#N/A,TRUE,"손익분석";#N/A,#N/A,TRUE,"판매분석";#N/A,#N/A,TRUE,"생산분석";#N/A,#N/A,TRUE,"투자";#N/A,#N/A,TRUE,"기타";#N/A,#N/A,TRUE,"표지";#N/A,#N/A,TRUE,"목차"}</definedName>
    <definedName name="jgjgf" hidden="1">{"Acq_matrix",#N/A,FALSE,"Acquisition Matrix"}</definedName>
    <definedName name="JK" hidden="1">{#N/A,#N/A,TRUE,"Y생산";#N/A,#N/A,TRUE,"Y판매";#N/A,#N/A,TRUE,"Y총물량";#N/A,#N/A,TRUE,"Y능력";#N/A,#N/A,TRUE,"YKD"}</definedName>
    <definedName name="jkhkgh" hidden="1">{"targetdcf",#N/A,FALSE,"Merger consequences";"TARGETASSU",#N/A,FALSE,"Merger consequences";"TERMINAL VALUE",#N/A,FALSE,"Merger consequences"}</definedName>
    <definedName name="JOKM" hidden="1">{#N/A,#N/A,FALSE,"단축1";#N/A,#N/A,FALSE,"단축2";#N/A,#N/A,FALSE,"단축3";#N/A,#N/A,FALSE,"장축";#N/A,#N/A,FALSE,"4WD"}</definedName>
    <definedName name="k" hidden="1">{#N/A,#N/A,TRUE,"손익현황";#N/A,#N/A,TRUE,"재무현황";#N/A,#N/A,TRUE,"자금운용";#N/A,#N/A,TRUE,"현금흐름";#N/A,#N/A,TRUE,"판매현황";#N/A,#N/A,TRUE,"생산현황";#N/A,#N/A,TRUE,"손익분석";#N/A,#N/A,TRUE,"판매분석";#N/A,#N/A,TRUE,"생산분석";#N/A,#N/A,TRUE,"투자";#N/A,#N/A,TRUE,"기타";#N/A,#N/A,TRUE,"표지";#N/A,#N/A,TRUE,"목차"}</definedName>
    <definedName name="KIM" hidden="1">{#N/A,#N/A,FALSE,"단축1";#N/A,#N/A,FALSE,"단축2";#N/A,#N/A,FALSE,"단축3";#N/A,#N/A,FALSE,"장축";#N/A,#N/A,FALSE,"4WD"}</definedName>
    <definedName name="KLKL" hidden="1">{#N/A,#N/A,FALSE,"단축1";#N/A,#N/A,FALSE,"단축2";#N/A,#N/A,FALSE,"단축3";#N/A,#N/A,FALSE,"장축";#N/A,#N/A,FALSE,"4WD"}</definedName>
    <definedName name="KSW" hidden="1">{#N/A,#N/A,FALSE,"단축1";#N/A,#N/A,FALSE,"단축2";#N/A,#N/A,FALSE,"단축3";#N/A,#N/A,FALSE,"장축";#N/A,#N/A,FALSE,"4WD"}</definedName>
    <definedName name="KU" hidden="1">{#N/A,#N/A,TRUE,"Y생산";#N/A,#N/A,TRUE,"Y판매";#N/A,#N/A,TRUE,"Y총물량";#N/A,#N/A,TRUE,"Y능력";#N/A,#N/A,TRUE,"YKD"}</definedName>
    <definedName name="l" hidden="1">{#N/A,#N/A,TRUE,"손익현황";#N/A,#N/A,TRUE,"재무현황";#N/A,#N/A,TRUE,"자금운용";#N/A,#N/A,TRUE,"현금흐름";#N/A,#N/A,TRUE,"판매현황";#N/A,#N/A,TRUE,"생산현황";#N/A,#N/A,TRUE,"손익분석";#N/A,#N/A,TRUE,"판매분석";#N/A,#N/A,TRUE,"생산분석";#N/A,#N/A,TRUE,"투자";#N/A,#N/A,TRUE,"기타";#N/A,#N/A,TRUE,"표지";#N/A,#N/A,TRUE,"목차"}</definedName>
    <definedName name="LAMI일문" hidden="1">{#N/A,#N/A,TRUE,"손익현황";#N/A,#N/A,TRUE,"재무현황";#N/A,#N/A,TRUE,"자금운용";#N/A,#N/A,TRUE,"현금흐름";#N/A,#N/A,TRUE,"판매현황";#N/A,#N/A,TRUE,"생산현황";#N/A,#N/A,TRUE,"손익분석";#N/A,#N/A,TRUE,"판매분석";#N/A,#N/A,TRUE,"생산분석";#N/A,#N/A,TRUE,"투자";#N/A,#N/A,TRUE,"기타";#N/A,#N/A,TRUE,"표지";#N/A,#N/A,TRUE,"목차"}</definedName>
    <definedName name="LINE검토2" hidden="1">{#N/A,#N/A,TRUE,"Y생산";#N/A,#N/A,TRUE,"Y판매";#N/A,#N/A,TRUE,"Y총물량";#N/A,#N/A,TRUE,"Y능력";#N/A,#N/A,TRUE,"YKD"}</definedName>
    <definedName name="lkdjsfl" hidden="1">{"'표지'!$B$5"}</definedName>
    <definedName name="lt" hidden="1">{#N/A,#N/A,FALSE,"단축1";#N/A,#N/A,FALSE,"단축2";#N/A,#N/A,FALSE,"단축3";#N/A,#N/A,FALSE,"장축";#N/A,#N/A,FALSE,"4WD"}</definedName>
    <definedName name="LUP" localSheetId="1" hidden="1">#REF!</definedName>
    <definedName name="LUP" localSheetId="0" hidden="1">#REF!</definedName>
    <definedName name="LUP" hidden="1">#REF!</definedName>
    <definedName name="MMMMM" hidden="1">{#N/A,#N/A,FALSE,"단축1";#N/A,#N/A,FALSE,"단축2";#N/A,#N/A,FALSE,"단축3";#N/A,#N/A,FALSE,"장축";#N/A,#N/A,FALSE,"4WD"}</definedName>
    <definedName name="Newe_ke" localSheetId="1" hidden="1">#REF!</definedName>
    <definedName name="Newe_ke" localSheetId="0" hidden="1">#REF!</definedName>
    <definedName name="Newe_ke" hidden="1">#REF!</definedName>
    <definedName name="NNL" hidden="1">{#N/A,#N/A,FALSE,"단축1";#N/A,#N/A,FALSE,"단축2";#N/A,#N/A,FALSE,"단축3";#N/A,#N/A,FALSE,"장축";#N/A,#N/A,FALSE,"4WD"}</definedName>
    <definedName name="NOTE" hidden="1">{#N/A,#N/A,FALSE,"단축1";#N/A,#N/A,FALSE,"단축2";#N/A,#N/A,FALSE,"단축3";#N/A,#N/A,FALSE,"장축";#N/A,#N/A,FALSE,"4WD"}</definedName>
    <definedName name="NW" hidden="1">{#N/A,#N/A,FALSE,"단축1";#N/A,#N/A,FALSE,"단축2";#N/A,#N/A,FALSE,"단축3";#N/A,#N/A,FALSE,"장축";#N/A,#N/A,FALSE,"4WD"}</definedName>
    <definedName name="OPTION_PN" localSheetId="1">#REF!</definedName>
    <definedName name="OPTION_PN" localSheetId="0">#REF!</definedName>
    <definedName name="OPTION_PN">#REF!</definedName>
    <definedName name="OPTION_TOTAL" localSheetId="1">#REF!</definedName>
    <definedName name="OPTION_TOTAL" localSheetId="0">#REF!</definedName>
    <definedName name="OPTION_TOTAL">#REF!</definedName>
    <definedName name="P3가공향상" hidden="1">{#N/A,#N/A,TRUE,"Y생산";#N/A,#N/A,TRUE,"Y판매";#N/A,#N/A,TRUE,"Y총물량";#N/A,#N/A,TRUE,"Y능력";#N/A,#N/A,TRUE,"YKD"}</definedName>
    <definedName name="PARK" hidden="1">{#N/A,#N/A,FALSE,"단축1";#N/A,#N/A,FALSE,"단축2";#N/A,#N/A,FALSE,"단축3";#N/A,#N/A,FALSE,"장축";#N/A,#N/A,FALSE,"4WD"}</definedName>
    <definedName name="PI" hidden="1">{#N/A,#N/A,TRUE,"Y생산";#N/A,#N/A,TRUE,"Y판매";#N/A,#N/A,TRUE,"Y총물량";#N/A,#N/A,TRUE,"Y능력";#N/A,#N/A,TRUE,"YKD"}</definedName>
    <definedName name="PPK" hidden="1">{#N/A,#N/A,FALSE,"96 3월물량표";#N/A,#N/A,FALSE,"96 4월물량표";#N/A,#N/A,FALSE,"96 5월물량표"}</definedName>
    <definedName name="PPPP" hidden="1">{#N/A,#N/A,FALSE,"단축1";#N/A,#N/A,FALSE,"단축2";#N/A,#N/A,FALSE,"단축3";#N/A,#N/A,FALSE,"장축";#N/A,#N/A,FALSE,"4WD"}</definedName>
    <definedName name="PPPPPP" hidden="1">{#N/A,#N/A,FALSE,"총괄수정"}</definedName>
    <definedName name="ppr" hidden="1">{#N/A,#N/A,FALSE,"단축1";#N/A,#N/A,FALSE,"단축2";#N/A,#N/A,FALSE,"단축3";#N/A,#N/A,FALSE,"장축";#N/A,#N/A,FALSE,"4WD"}</definedName>
    <definedName name="_xlnm.Print_Area" localSheetId="1">세무!$B$2:$AA$52</definedName>
    <definedName name="_xlnm.Print_Area" localSheetId="0">'신규(기업)'!$B$2:$AA$71</definedName>
    <definedName name="PROTO2" hidden="1">{#N/A,#N/A,FALSE,"단축1";#N/A,#N/A,FALSE,"단축2";#N/A,#N/A,FALSE,"단축3";#N/A,#N/A,FALSE,"장축";#N/A,#N/A,FALSE,"4WD"}</definedName>
    <definedName name="PROTO3" hidden="1">{#N/A,#N/A,FALSE,"단축1";#N/A,#N/A,FALSE,"단축2";#N/A,#N/A,FALSE,"단축3";#N/A,#N/A,FALSE,"장축";#N/A,#N/A,FALSE,"4WD"}</definedName>
    <definedName name="psy" hidden="1">{#N/A,#N/A,FALSE,"총괄수정"}</definedName>
    <definedName name="QAZ" hidden="1">{#N/A,#N/A,FALSE,"단축1";#N/A,#N/A,FALSE,"단축2";#N/A,#N/A,FALSE,"단축3";#N/A,#N/A,FALSE,"장축";#N/A,#N/A,FALSE,"4WD"}</definedName>
    <definedName name="QQQAAASSS" hidden="1">{#N/A,#N/A,TRUE,"Y생산";#N/A,#N/A,TRUE,"Y판매";#N/A,#N/A,TRUE,"Y총물량";#N/A,#N/A,TRUE,"Y능력";#N/A,#N/A,TRUE,"YKD"}</definedName>
    <definedName name="QQQQQQQ" hidden="1">{#N/A,#N/A,TRUE,"Y생산";#N/A,#N/A,TRUE,"Y판매";#N/A,#N/A,TRUE,"Y총물량";#N/A,#N/A,TRUE,"Y능력";#N/A,#N/A,TRUE,"YKD"}</definedName>
    <definedName name="QW" hidden="1">{#N/A,#N/A,FALSE,"단축1";#N/A,#N/A,FALSE,"단축2";#N/A,#N/A,FALSE,"단축3";#N/A,#N/A,FALSE,"장축";#N/A,#N/A,FALSE,"4WD"}</definedName>
    <definedName name="QWE" hidden="1">{#N/A,#N/A,FALSE,"단축1";#N/A,#N/A,FALSE,"단축2";#N/A,#N/A,FALSE,"단축3";#N/A,#N/A,FALSE,"장축";#N/A,#N/A,FALSE,"4WD"}</definedName>
    <definedName name="QWER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asGantt" localSheetId="1">#REF!</definedName>
    <definedName name="RasGantt" localSheetId="0">#REF!</definedName>
    <definedName name="RasGantt">#REF!</definedName>
    <definedName name="RGSDG" hidden="1">{#N/A,#N/A,FALSE,"단축1";#N/A,#N/A,FALSE,"단축2";#N/A,#N/A,FALSE,"단축3";#N/A,#N/A,FALSE,"장축";#N/A,#N/A,FALSE,"4WD"}</definedName>
    <definedName name="ROTJSRHKWJD1" hidden="1">{#N/A,#N/A,FALSE,"단축1";#N/A,#N/A,FALSE,"단축2";#N/A,#N/A,FALSE,"단축3";#N/A,#N/A,FALSE,"장축";#N/A,#N/A,FALSE,"4WD"}</definedName>
    <definedName name="rth" hidden="1">{"'표지'!$B$5"}</definedName>
    <definedName name="SADF" hidden="1">{#N/A,#N/A,FALSE,"단축1";#N/A,#N/A,FALSE,"단축2";#N/A,#N/A,FALSE,"단축3";#N/A,#N/A,FALSE,"장축";#N/A,#N/A,FALSE,"4WD"}</definedName>
    <definedName name="SAS" hidden="1">{#N/A,#N/A,FALSE,"단축1";#N/A,#N/A,FALSE,"단축2";#N/A,#N/A,FALSE,"단축3";#N/A,#N/A,FALSE,"장축";#N/A,#N/A,FALSE,"4WD"}</definedName>
    <definedName name="sdaf" hidden="1">{"targetdcf",#N/A,FALSE,"Merger consequences";"TARGETASSU",#N/A,FALSE,"Merger consequences";"TERMINAL VALUE",#N/A,FALSE,"Merger consequences"}</definedName>
    <definedName name="sdf" hidden="1">{#N/A,#N/A,TRUE,"1.환경분석_목표";#N/A,#N/A,TRUE,"2.원가절감";#N/A,#N/A,TRUE,"3.경영계획총괄";#N/A,#N/A,TRUE,"4.손익계획";#N/A,#N/A,TRUE,"5.재무계획";#N/A,#N/A,TRUE,"6-1.차임금현황";#N/A,#N/A,TRUE,"6-2현금흐름";#N/A,#N/A,TRUE,"7-1.생산계획";#N/A,#N/A,TRUE,"7-2.판매계획";#N/A,#N/A,TRUE,"8-1.유형별투자";#N/A,#N/A,TRUE,"8-2.내역별투자";#N/A,#N/A,TRUE,"8-3.연구개발";#N/A,#N/A,TRUE,"9.인력운용";#N/A,#N/A,TRUE,"10.조직도";#N/A,#N/A,TRUE,"11.교육훈련계획";#N/A,#N/A,TRUE,"12.홍보계획";#N/A,#N/A,TRUE,"13.보유부동산현황";#N/A,#N/A,TRUE,"표지";#N/A,#N/A,TRUE,"목차"}</definedName>
    <definedName name="sdfg" hidden="1">{"AQUIRORDCF",#N/A,FALSE,"Merger consequences";"Acquirorassns",#N/A,FALSE,"Merger consequences"}</definedName>
    <definedName name="sdfgdsfh" hidden="1">{"targetdcf",#N/A,FALSE,"Merger consequences";"TARGETASSU",#N/A,FALSE,"Merger consequences";"TERMINAL VALUE",#N/A,FALSE,"Merger consequences"}</definedName>
    <definedName name="sdfggsdf" hidden="1">{"targetdcf",#N/A,FALSE,"Merger consequences";"TARGETASSU",#N/A,FALSE,"Merger consequences";"TERMINAL VALUE",#N/A,FALSE,"Merger consequences"}</definedName>
    <definedName name="sdfgss" hidden="1">{"qchm_dcf",#N/A,FALSE,"QCHMDCF2";"qchm_terminal",#N/A,FALSE,"QCHMDCF2"}</definedName>
    <definedName name="SDFL" hidden="1">{#N/A,#N/A,FALSE,"단축1";#N/A,#N/A,FALSE,"단축2";#N/A,#N/A,FALSE,"단축3";#N/A,#N/A,FALSE,"장축";#N/A,#N/A,FALSE,"4WD"}</definedName>
    <definedName name="SDFLL" hidden="1">{#N/A,#N/A,FALSE,"단축1";#N/A,#N/A,FALSE,"단축2";#N/A,#N/A,FALSE,"단축3";#N/A,#N/A,FALSE,"장축";#N/A,#N/A,FALSE,"4WD"}</definedName>
    <definedName name="SDFLLLLLL" hidden="1">{#N/A,#N/A,FALSE,"단축1";#N/A,#N/A,FALSE,"단축2";#N/A,#N/A,FALSE,"단축3";#N/A,#N/A,FALSE,"장축";#N/A,#N/A,FALSE,"4WD"}</definedName>
    <definedName name="SDFLLSD" hidden="1">{#N/A,#N/A,FALSE,"단축1";#N/A,#N/A,FALSE,"단축2";#N/A,#N/A,FALSE,"단축3";#N/A,#N/A,FALSE,"장축";#N/A,#N/A,FALSE,"4WD"}</definedName>
    <definedName name="sdgggag" hidden="1">{"targetdcf",#N/A,FALSE,"Merger consequences";"TARGETASSU",#N/A,FALSE,"Merger consequences";"TERMINAL VALUE",#N/A,FALSE,"Merger consequences"}</definedName>
    <definedName name="SDSDSD" hidden="1">{#N/A,#N/A,FALSE,"단축1";#N/A,#N/A,FALSE,"단축2";#N/A,#N/A,FALSE,"단축3";#N/A,#N/A,FALSE,"장축";#N/A,#N/A,FALSE,"4WD"}</definedName>
    <definedName name="SF" hidden="1">{#N/A,#N/A,FALSE,"단축1";#N/A,#N/A,FALSE,"단축2";#N/A,#N/A,FALSE,"단축3";#N/A,#N/A,FALSE,"장축";#N/A,#N/A,FALSE,"4WD"}</definedName>
    <definedName name="sfd" hidden="1">{"AQUIRORDCF",#N/A,FALSE,"Merger consequences";"Acquirorassns",#N/A,FALSE,"Merger consequences"}</definedName>
    <definedName name="sfdgddd" hidden="1">{"Acq_matrix",#N/A,FALSE,"Acquisition Matrix"}</definedName>
    <definedName name="sfdgggsdf" hidden="1">{"qchm_dcf",#N/A,FALSE,"QCHMDCF2";"qchm_terminal",#N/A,FALSE,"QCHMDCF2"}</definedName>
    <definedName name="SFG" hidden="1">{#N/A,#N/A,FALSE,"단축1";#N/A,#N/A,FALSE,"단축2";#N/A,#N/A,FALSE,"단축3";#N/A,#N/A,FALSE,"장축";#N/A,#N/A,FALSE,"4WD"}</definedName>
    <definedName name="SFSFSF" hidden="1">{#N/A,#N/A,FALSE,"단축1";#N/A,#N/A,FALSE,"단축2";#N/A,#N/A,FALSE,"단축3";#N/A,#N/A,FALSE,"장축";#N/A,#N/A,FALSE,"4WD"}</definedName>
    <definedName name="sgfdh" hidden="1">{"targetdcf",#N/A,FALSE,"Merger consequences";"TARGETASSU",#N/A,FALSE,"Merger consequences";"TERMINAL VALUE",#N/A,FALSE,"Merger consequences"}</definedName>
    <definedName name="SHI" hidden="1">{#N/A,#N/A,FALSE,"단축1";#N/A,#N/A,FALSE,"단축2";#N/A,#N/A,FALSE,"단축3";#N/A,#N/A,FALSE,"장축";#N/A,#N/A,FALSE,"4WD"}</definedName>
    <definedName name="sht" hidden="1">{#N/A,#N/A,FALSE,"단축1";#N/A,#N/A,FALSE,"단축2";#N/A,#N/A,FALSE,"단축3";#N/A,#N/A,FALSE,"장축";#N/A,#N/A,FALSE,"4WD"}</definedName>
    <definedName name="SIDE" hidden="1">{#N/A,#N/A,FALSE,"단축1";#N/A,#N/A,FALSE,"단축2";#N/A,#N/A,FALSE,"단축3";#N/A,#N/A,FALSE,"장축";#N/A,#N/A,FALSE,"4WD"}</definedName>
    <definedName name="SSDD" hidden="1">{#N/A,#N/A,FALSE,"단축1";#N/A,#N/A,FALSE,"단축2";#N/A,#N/A,FALSE,"단축3";#N/A,#N/A,FALSE,"장축";#N/A,#N/A,FALSE,"4WD"}</definedName>
    <definedName name="T8D_ULEV1" hidden="1">{#N/A,#N/A,FALSE,"단축1";#N/A,#N/A,FALSE,"단축2";#N/A,#N/A,FALSE,"단축3";#N/A,#N/A,FALSE,"장축";#N/A,#N/A,FALSE,"4WD"}</definedName>
    <definedName name="T8D_ULEV2" hidden="1">{#N/A,#N/A,FALSE,"단축1";#N/A,#N/A,FALSE,"단축2";#N/A,#N/A,FALSE,"단축3";#N/A,#N/A,FALSE,"장축";#N/A,#N/A,FALSE,"4WD"}</definedName>
    <definedName name="tc" hidden="1">{#N/A,#N/A,FALSE,"단축1";#N/A,#N/A,FALSE,"단축2";#N/A,#N/A,FALSE,"단축3";#N/A,#N/A,FALSE,"장축";#N/A,#N/A,FALSE,"4WD"}</definedName>
    <definedName name="tci" hidden="1">{#N/A,#N/A,FALSE,"단축1";#N/A,#N/A,FALSE,"단축2";#N/A,#N/A,FALSE,"단축3";#N/A,#N/A,FALSE,"장축";#N/A,#N/A,FALSE,"4WD"}</definedName>
    <definedName name="tdc" hidden="1">{#N/A,#N/A,FALSE,"단축1";#N/A,#N/A,FALSE,"단축2";#N/A,#N/A,FALSE,"단축3";#N/A,#N/A,FALSE,"장축";#N/A,#N/A,FALSE,"4WD"}</definedName>
    <definedName name="test" hidden="1">{#N/A,#N/A,FALSE,"단축1";#N/A,#N/A,FALSE,"단축2";#N/A,#N/A,FALSE,"단축3";#N/A,#N/A,FALSE,"장축";#N/A,#N/A,FALSE,"4WD"}</definedName>
    <definedName name="test1" hidden="1">{#N/A,#N/A,FALSE,"단축1";#N/A,#N/A,FALSE,"단축2";#N/A,#N/A,FALSE,"단축3";#N/A,#N/A,FALSE,"장축";#N/A,#N/A,FALSE,"4WD"}</definedName>
    <definedName name="th" hidden="1">{#N/A,#N/A,FALSE,"단축1";#N/A,#N/A,FALSE,"단축2";#N/A,#N/A,FALSE,"단축3";#N/A,#N/A,FALSE,"장축";#N/A,#N/A,FALSE,"4WD"}</definedName>
    <definedName name="THEME2" hidden="1">{#N/A,#N/A,FALSE,"96 3월물량표";#N/A,#N/A,FALSE,"96 4월물량표";#N/A,#N/A,FALSE,"96 5월물량표"}</definedName>
    <definedName name="tj" hidden="1">{#N/A,#N/A,FALSE,"단축1";#N/A,#N/A,FALSE,"단축2";#N/A,#N/A,FALSE,"단축3";#N/A,#N/A,FALSE,"장축";#N/A,#N/A,FALSE,"4WD"}</definedName>
    <definedName name="TRIM별COST2" hidden="1">{#N/A,#N/A,FALSE,"단축1";#N/A,#N/A,FALSE,"단축2";#N/A,#N/A,FALSE,"단축3";#N/A,#N/A,FALSE,"장축";#N/A,#N/A,FALSE,"4WD"}</definedName>
    <definedName name="ttttcd" hidden="1">{#N/A,#N/A,FALSE,"단축1";#N/A,#N/A,FALSE,"단축2";#N/A,#N/A,FALSE,"단축3";#N/A,#N/A,FALSE,"장축";#N/A,#N/A,FALSE,"4WD"}</definedName>
    <definedName name="TYU" hidden="1">{#N/A,#N/A,FALSE,"단축1";#N/A,#N/A,FALSE,"단축2";#N/A,#N/A,FALSE,"단축3";#N/A,#N/A,FALSE,"장축";#N/A,#N/A,FALSE,"4WD"}</definedName>
    <definedName name="UB" localSheetId="1" hidden="1">#REF!</definedName>
    <definedName name="UB" localSheetId="0" hidden="1">#REF!</definedName>
    <definedName name="UB" hidden="1">#REF!</definedName>
    <definedName name="UKFL" hidden="1">{#N/A,#N/A,FALSE,"단축1";#N/A,#N/A,FALSE,"단축2";#N/A,#N/A,FALSE,"단축3";#N/A,#N/A,FALSE,"장축";#N/A,#N/A,FALSE,"4WD"}</definedName>
    <definedName name="VNADNL" hidden="1">{#N/A,#N/A,FALSE,"단축1";#N/A,#N/A,FALSE,"단축2";#N/A,#N/A,FALSE,"단축3";#N/A,#N/A,FALSE,"장축";#N/A,#N/A,FALSE,"4WD"}</definedName>
    <definedName name="WAQEFQ" hidden="1">{#N/A,#N/A,FALSE,"단축1";#N/A,#N/A,FALSE,"단축2";#N/A,#N/A,FALSE,"단축3";#N/A,#N/A,FALSE,"장축";#N/A,#N/A,FALSE,"4WD"}</definedName>
    <definedName name="WEARF" hidden="1">{#N/A,#N/A,TRUE,"Y생산";#N/A,#N/A,TRUE,"Y판매";#N/A,#N/A,TRUE,"Y총물량";#N/A,#N/A,TRUE,"Y능력";#N/A,#N/A,TRUE,"YKD"}</definedName>
    <definedName name="WEFRWE" hidden="1">{#N/A,#N/A,FALSE,"단축1";#N/A,#N/A,FALSE,"단축2";#N/A,#N/A,FALSE,"단축3";#N/A,#N/A,FALSE,"장축";#N/A,#N/A,FALSE,"4WD"}</definedName>
    <definedName name="wjsdnr" hidden="1">{#N/A,#N/A,FALSE,"단축1";#N/A,#N/A,FALSE,"단축2";#N/A,#N/A,FALSE,"단축3";#N/A,#N/A,FALSE,"장축";#N/A,#N/A,FALSE,"4WD"}</definedName>
    <definedName name="wkworhgk" hidden="1">{#N/A,#N/A,TRUE,"Y생산";#N/A,#N/A,TRUE,"Y판매";#N/A,#N/A,TRUE,"Y총물량";#N/A,#N/A,TRUE,"Y능력";#N/A,#N/A,TRUE,"YKD"}</definedName>
    <definedName name="wnd" hidden="1">{#N/A,#N/A,TRUE,"Y생산";#N/A,#N/A,TRUE,"Y판매";#N/A,#N/A,TRUE,"Y총물량";#N/A,#N/A,TRUE,"Y능력";#N/A,#N/A,TRUE,"YKD"}</definedName>
    <definedName name="wp" hidden="1">{"targetdcf",#N/A,FALSE,"Merger consequences";"TARGETASSU",#N/A,FALSE,"Merger consequences";"TERMINAL VALUE",#N/A,FALSE,"Merger consequences"}</definedName>
    <definedName name="wrn.3_4분기._.양식." hidden="1">{#N/A,#N/A,TRUE,"손익현황";#N/A,#N/A,TRUE,"재무현황";#N/A,#N/A,TRUE,"자금운용";#N/A,#N/A,TRUE,"현금흐름";#N/A,#N/A,TRUE,"판매현황";#N/A,#N/A,TRUE,"생산현황";#N/A,#N/A,TRUE,"손익분석";#N/A,#N/A,TRUE,"판매분석";#N/A,#N/A,TRUE,"생산분석";#N/A,#N/A,TRUE,"투자";#N/A,#N/A,TRUE,"기타";#N/A,#N/A,TRUE,"표지";#N/A,#N/A,TRUE,"목차"}</definedName>
    <definedName name="wrn.345." hidden="1">{#N/A,#N/A,FALSE,"96 3월물량표";#N/A,#N/A,FALSE,"96 4월물량표";#N/A,#N/A,FALSE,"96 5월물량표"}</definedName>
    <definedName name="wrn.98.4월" hidden="1">{#N/A,#N/A,FALSE,"표지";#N/A,#N/A,FALSE,"1.손익현황";#N/A,#N/A,FALSE,"첨1.손익분석";#N/A,#N/A,FALSE,"2.재무재표";#N/A,#N/A,FALSE,"3.자금현황";#N/A,#N/A,FALSE,"4.생산판매"}</definedName>
    <definedName name="wrn.98.4월보고." hidden="1">{#N/A,#N/A,FALSE,"표지";#N/A,#N/A,FALSE,"1.손익현황";#N/A,#N/A,FALSE,"첨1.손익분석";#N/A,#N/A,FALSE,"2.재무재표";#N/A,#N/A,FALSE,"3.자금현황";#N/A,#N/A,FALSE,"4.생산판매"}</definedName>
    <definedName name="wrn.99경영계획양식." hidden="1">{#N/A,#N/A,TRUE,"1.환경분석_목표";#N/A,#N/A,TRUE,"2.원가절감";#N/A,#N/A,TRUE,"3.경영계획총괄";#N/A,#N/A,TRUE,"4.손익계획";#N/A,#N/A,TRUE,"5.재무계획";#N/A,#N/A,TRUE,"6-1.차임금현황";#N/A,#N/A,TRUE,"6-2현금흐름";#N/A,#N/A,TRUE,"7-1.생산계획";#N/A,#N/A,TRUE,"7-2.판매계획";#N/A,#N/A,TRUE,"8-1.유형별투자";#N/A,#N/A,TRUE,"8-2.내역별투자";#N/A,#N/A,TRUE,"8-3.연구개발";#N/A,#N/A,TRUE,"9.인력운용";#N/A,#N/A,TRUE,"10.조직도";#N/A,#N/A,TRUE,"11.교육훈련계획";#N/A,#N/A,TRUE,"12.홍보계획";#N/A,#N/A,TRUE,"13.보유부동산현황";#N/A,#N/A,TRUE,"표지";#N/A,#N/A,TRUE,"목차"}</definedName>
    <definedName name="wrn.AAAA." hidden="1">{#N/A,#N/A,FALSE,"1.참가신청";#N/A,#N/A,FALSE,"2.개발성과";#N/A,#N/A,FALSE,"3.활용현황";#N/A,#N/A,FALSE,"4.상호명";#N/A,#N/A,FALSE,"5.포상신청";#N/A,#N/A,FALSE,"산업재산권";#N/A,#N/A,FALSE,"산출내역";#N/A,#N/A,FALSE,"인적사항"}</definedName>
    <definedName name="wrn.Acquisition_matrix." hidden="1">{"Acq_matrix",#N/A,FALSE,"Acquisition Matrix"}</definedName>
    <definedName name="wrn.AQUIROR._.DCF." hidden="1">{"AQUIRORDCF",#N/A,FALSE,"Merger consequences";"Acquirorassns",#N/A,FALSE,"Merger consequences"}</definedName>
    <definedName name="wrn.BBBB." hidden="1">{#N/A,#N/A,FALSE,"유첨1-1";#N/A,#N/A,FALSE,"1-2";#N/A,#N/A,FALSE,"1-3";#N/A,#N/A,FALSE,"1-4";#N/A,#N/A,FALSE,"1-5";#N/A,#N/A,FALSE,"1-6";#N/A,#N/A,FALSE,"1-7";#N/A,#N/A,FALSE,"1-8";#N/A,#N/A,FALSE,"1-9"}</definedName>
    <definedName name="wrn.CCCC." hidden="1">{#N/A,#N/A,FALSE,"유첨2-1";#N/A,#N/A,FALSE,"2-2";#N/A,#N/A,FALSE,"2-3";#N/A,#N/A,FALSE,"2-4";#N/A,#N/A,FALSE,"2-5";#N/A,#N/A,FALSE,"2-6";#N/A,#N/A,FALSE,"2-7";#N/A,#N/A,FALSE,"2-8";#N/A,#N/A,FALSE,"2-9"}</definedName>
    <definedName name="wrn.DCF_Terminal_Value_qchm." hidden="1">{"qchm_dcf",#N/A,FALSE,"QCHMDCF2";"qchm_terminal",#N/A,FALSE,"QCHMDCF2"}</definedName>
    <definedName name="wrn.DDDD." hidden="1">{#N/A,#N/A,FALSE,"유첨3-1";#N/A,#N/A,FALSE,"3-2";#N/A,#N/A,FALSE,"3-3";#N/A,#N/A,FALSE,"3-4";#N/A,#N/A,FALSE,"3-5";#N/A,#N/A,FALSE,"3-6";#N/A,#N/A,FALSE,"3-7";#N/A,#N/A,FALSE,"3-8"}</definedName>
    <definedName name="wrn.EEEE." hidden="1">{#N/A,#N/A,FALSE,"유첨4-1";#N/A,#N/A,FALSE,"4-2";#N/A,#N/A,FALSE,"4-3";#N/A,#N/A,FALSE,"4-4";#N/A,#N/A,FALSE,"4-5";#N/A,#N/A,FALSE,"4-6";#N/A,#N/A,FALSE,"4-7";#N/A,#N/A,FALSE,"4-8";#N/A,#N/A,FALSE,"4-9"}</definedName>
    <definedName name="wrn.FFFF." hidden="1">{#N/A,#N/A,FALSE,"유첨5-1";#N/A,#N/A,FALSE,"5-2";#N/A,#N/A,FALSE,"5-3";#N/A,#N/A,FALSE,"5-4";#N/A,#N/A,FALSE,"5-5";#N/A,#N/A,FALSE,"5-6";#N/A,#N/A,FALSE,"5-7";#N/A,#N/A,FALSE,"5-8"}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TARGET._.DCF." hidden="1">{"targetdcf",#N/A,FALSE,"Merger consequences";"TARGETASSU",#N/A,FALSE,"Merger consequences";"TERMINAL VALUE",#N/A,FALSE,"Merger consequences"}</definedName>
    <definedName name="wrn.Y차._.종합." hidden="1">{#N/A,#N/A,TRUE,"Y생산";#N/A,#N/A,TRUE,"Y판매";#N/A,#N/A,TRUE,"Y총물량";#N/A,#N/A,TRUE,"Y능력";#N/A,#N/A,TRUE,"YKD"}</definedName>
    <definedName name="wrn.손익보고." hidden="1">{#N/A,#N/A,FALSE,"표지";#N/A,#N/A,FALSE,"page1";#N/A,#N/A,FALSE,"page2";#N/A,#N/A,FALSE,"page3";#N/A,#N/A,FALSE,"별첨"}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hidden="1">{#N/A,#N/A,FALSE,"단축1";#N/A,#N/A,FALSE,"단축2";#N/A,#N/A,FALSE,"단축3";#N/A,#N/A,FALSE,"장축";#N/A,#N/A,FALSE,"4WD"}</definedName>
    <definedName name="wrn.총괄._.수정." hidden="1">{#N/A,#N/A,FALSE,"총괄수정"}</definedName>
    <definedName name="WS_PN" localSheetId="1">#REF!</definedName>
    <definedName name="WS_PN" localSheetId="0">#REF!</definedName>
    <definedName name="WS_PN">#REF!</definedName>
    <definedName name="WS_TOTAL" localSheetId="1">#REF!</definedName>
    <definedName name="WS_TOTAL" localSheetId="0">#REF!</definedName>
    <definedName name="WS_TOTAL">#REF!</definedName>
    <definedName name="yr" hidden="1">{"'표지'!$B$5"}</definedName>
    <definedName name="YYY" hidden="1">{#N/A,#N/A,TRUE,"Y생산";#N/A,#N/A,TRUE,"Y판매";#N/A,#N/A,TRUE,"Y총물량";#N/A,#N/A,TRUE,"Y능력";#N/A,#N/A,TRUE,"YKD"}</definedName>
    <definedName name="yyyy" hidden="1">{#N/A,#N/A,FALSE,"단축1";#N/A,#N/A,FALSE,"단축2";#N/A,#N/A,FALSE,"단축3";#N/A,#N/A,FALSE,"장축";#N/A,#N/A,FALSE,"4WD"}</definedName>
    <definedName name="ZBN" hidden="1">{#N/A,#N/A,FALSE,"단축1";#N/A,#N/A,FALSE,"단축2";#N/A,#N/A,FALSE,"단축3";#N/A,#N/A,FALSE,"장축";#N/A,#N/A,FALSE,"4WD"}</definedName>
    <definedName name="ZXC" localSheetId="1" hidden="1">#REF!</definedName>
    <definedName name="ZXC" localSheetId="0" hidden="1">#REF!</definedName>
    <definedName name="ZXC" hidden="1">#REF!</definedName>
    <definedName name="ZXCZXC" localSheetId="1" hidden="1">#REF!</definedName>
    <definedName name="ZXCZXC" localSheetId="0" hidden="1">#REF!</definedName>
    <definedName name="ZXCZXC" hidden="1">#REF!</definedName>
    <definedName name="ㄱㄱㄱ" hidden="1">{"targetdcf",#N/A,FALSE,"Merger consequences";"TARGETASSU",#N/A,FALSE,"Merger consequences";"TERMINAL VALUE",#N/A,FALSE,"Merger consequences"}</definedName>
    <definedName name="ㄱㅇ" hidden="1">{#N/A,#N/A,FALSE,"단축1";#N/A,#N/A,FALSE,"단축2";#N/A,#N/A,FALSE,"단축3";#N/A,#N/A,FALSE,"장축";#N/A,#N/A,FALSE,"4WD"}</definedName>
    <definedName name="가1" hidden="1">{#N/A,#N/A,TRUE,"Y생산";#N/A,#N/A,TRUE,"Y판매";#N/A,#N/A,TRUE,"Y총물량";#N/A,#N/A,TRUE,"Y능력";#N/A,#N/A,TRUE,"YKD"}</definedName>
    <definedName name="가2" hidden="1">{#N/A,#N/A,TRUE,"Y생산";#N/A,#N/A,TRUE,"Y판매";#N/A,#N/A,TRUE,"Y총물량";#N/A,#N/A,TRUE,"Y능력";#N/A,#N/A,TRUE,"YKD"}</definedName>
    <definedName name="가동" hidden="1">{#N/A,#N/A,TRUE,"Y생산";#N/A,#N/A,TRUE,"Y판매";#N/A,#N/A,TRUE,"Y총물량";#N/A,#N/A,TRUE,"Y능력";#N/A,#N/A,TRUE,"YKD"}</definedName>
    <definedName name="가동2" hidden="1">{#N/A,#N/A,TRUE,"Y생산";#N/A,#N/A,TRUE,"Y판매";#N/A,#N/A,TRUE,"Y총물량";#N/A,#N/A,TRUE,"Y능력";#N/A,#N/A,TRUE,"YKD"}</definedName>
    <definedName name="강강농" hidden="1">{#N/A,#N/A,FALSE,"단축1";#N/A,#N/A,FALSE,"단축2";#N/A,#N/A,FALSE,"단축3";#N/A,#N/A,FALSE,"장축";#N/A,#N/A,FALSE,"4WD"}</definedName>
    <definedName name="개발시험종합" localSheetId="1" hidden="1">#REF!</definedName>
    <definedName name="개발시험종합" localSheetId="0" hidden="1">#REF!</definedName>
    <definedName name="개발시험종합" hidden="1">#REF!</definedName>
    <definedName name="개발일정수정" hidden="1">{#N/A,#N/A,FALSE,"단축1";#N/A,#N/A,FALSE,"단축2";#N/A,#N/A,FALSE,"단축3";#N/A,#N/A,FALSE,"장축";#N/A,#N/A,FALSE,"4WD"}</definedName>
    <definedName name="개선과장1" hidden="1">{#N/A,#N/A,FALSE,"단축1";#N/A,#N/A,FALSE,"단축2";#N/A,#N/A,FALSE,"단축3";#N/A,#N/A,FALSE,"장축";#N/A,#N/A,FALSE,"4WD"}</definedName>
    <definedName name="개선과정" hidden="1">{#N/A,#N/A,FALSE,"단축1";#N/A,#N/A,FALSE,"단축2";#N/A,#N/A,FALSE,"단축3";#N/A,#N/A,FALSE,"장축";#N/A,#N/A,FALSE,"4WD"}</definedName>
    <definedName name="개선과제1" hidden="1">{#N/A,#N/A,FALSE,"단축1";#N/A,#N/A,FALSE,"단축2";#N/A,#N/A,FALSE,"단축3";#N/A,#N/A,FALSE,"장축";#N/A,#N/A,FALSE,"4WD"}</definedName>
    <definedName name="개선내용" hidden="1">{#N/A,#N/A,TRUE,"Y생산";#N/A,#N/A,TRUE,"Y판매";#N/A,#N/A,TRUE,"Y총물량";#N/A,#N/A,TRUE,"Y능력";#N/A,#N/A,TRUE,"YKD"}</definedName>
    <definedName name="개선실적" hidden="1">{#N/A,#N/A,TRUE,"Y생산";#N/A,#N/A,TRUE,"Y판매";#N/A,#N/A,TRUE,"Y총물량";#N/A,#N/A,TRUE,"Y능력";#N/A,#N/A,TRUE,"YKD"}</definedName>
    <definedName name="거" hidden="1">{#N/A,#N/A,FALSE,"단축1";#N/A,#N/A,FALSE,"단축2";#N/A,#N/A,FALSE,"단축3";#N/A,#N/A,FALSE,"장축";#N/A,#N/A,FALSE,"4WD"}</definedName>
    <definedName name="걸" hidden="1">{#N/A,#N/A,FALSE,"단축1";#N/A,#N/A,FALSE,"단축2";#N/A,#N/A,FALSE,"단축3";#N/A,#N/A,FALSE,"장축";#N/A,#N/A,FALSE,"4WD"}</definedName>
    <definedName name="경상비8월" hidden="1">{#N/A,#N/A,FALSE,"단축1";#N/A,#N/A,FALSE,"단축2";#N/A,#N/A,FALSE,"단축3";#N/A,#N/A,FALSE,"장축";#N/A,#N/A,FALSE,"4WD"}</definedName>
    <definedName name="경합금2과운연계획" hidden="1">{#N/A,#N/A,TRUE,"Y생산";#N/A,#N/A,TRUE,"Y판매";#N/A,#N/A,TRUE,"Y총물량";#N/A,#N/A,TRUE,"Y능력";#N/A,#N/A,TRUE,"YKD"}</definedName>
    <definedName name="계" hidden="1">{#N/A,#N/A,FALSE,"단축1";#N/A,#N/A,FALSE,"단축2";#N/A,#N/A,FALSE,"단축3";#N/A,#N/A,FALSE,"장축";#N/A,#N/A,FALSE,"4WD"}</definedName>
    <definedName name="계정별투자총괄" hidden="1">{#N/A,#N/A,FALSE,"단축1";#N/A,#N/A,FALSE,"단축2";#N/A,#N/A,FALSE,"단축3";#N/A,#N/A,FALSE,"장축";#N/A,#N/A,FALSE,"4WD"}</definedName>
    <definedName name="계획.1" hidden="1">{#N/A,#N/A,FALSE,"단축1";#N/A,#N/A,FALSE,"단축2";#N/A,#N/A,FALSE,"단축3";#N/A,#N/A,FALSE,"장축";#N/A,#N/A,FALSE,"4WD"}</definedName>
    <definedName name="계획1" hidden="1">{#N/A,#N/A,FALSE,"단축1";#N/A,#N/A,FALSE,"단축2";#N/A,#N/A,FALSE,"단축3";#N/A,#N/A,FALSE,"장축";#N/A,#N/A,FALSE,"4WD"}</definedName>
    <definedName name="골" hidden="1">{#N/A,#N/A,FALSE,"단축1";#N/A,#N/A,FALSE,"단축2";#N/A,#N/A,FALSE,"단축3";#N/A,#N/A,FALSE,"장축";#N/A,#N/A,FALSE,"4WD"}</definedName>
    <definedName name="공공" hidden="1">{#N/A,#N/A,FALSE,"단축1";#N/A,#N/A,FALSE,"단축2";#N/A,#N/A,FALSE,"단축3";#N/A,#N/A,FALSE,"장축";#N/A,#N/A,FALSE,"4WD"}</definedName>
    <definedName name="공성환" hidden="1">{#N/A,#N/A,FALSE,"단축1";#N/A,#N/A,FALSE,"단축2";#N/A,#N/A,FALSE,"단축3";#N/A,#N/A,FALSE,"장축";#N/A,#N/A,FALSE,"4WD"}</definedName>
    <definedName name="관리2" hidden="1">{#N/A,#N/A,FALSE,"총괄수정"}</definedName>
    <definedName name="관리지표2" hidden="1">{#N/A,#N/A,TRUE,"Y생산";#N/A,#N/A,TRUE,"Y판매";#N/A,#N/A,TRUE,"Y총물량";#N/A,#N/A,TRUE,"Y능력";#N/A,#N/A,TRUE,"YKD"}</definedName>
    <definedName name="구자석" hidden="1">{#N/A,#N/A,FALSE,"총괄수정"}</definedName>
    <definedName name="구자석.틴" hidden="1">{#N/A,#N/A,FALSE,"총괄수정"}</definedName>
    <definedName name="구조조정계획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국" hidden="1">{#N/A,#N/A,FALSE,"단축1";#N/A,#N/A,FALSE,"단축2";#N/A,#N/A,FALSE,"단축3";#N/A,#N/A,FALSE,"장축";#N/A,#N/A,FALSE,"4WD"}</definedName>
    <definedName name="권" hidden="1">{#N/A,#N/A,FALSE,"총괄수정"}</definedName>
    <definedName name="그" hidden="1">{#N/A,#N/A,FALSE,"단축1";#N/A,#N/A,FALSE,"단축2";#N/A,#N/A,FALSE,"단축3";#N/A,#N/A,FALSE,"장축";#N/A,#N/A,FALSE,"4WD"}</definedName>
    <definedName name="금월" hidden="1">{#N/A,#N/A,TRUE,"Y생산";#N/A,#N/A,TRUE,"Y판매";#N/A,#N/A,TRUE,"Y총물량";#N/A,#N/A,TRUE,"Y능력";#N/A,#N/A,TRUE,"YKD"}</definedName>
    <definedName name="기" hidden="1">{#N/A,#N/A,TRUE,"Y생산";#N/A,#N/A,TRUE,"Y판매";#N/A,#N/A,TRUE,"Y총물량";#N/A,#N/A,TRUE,"Y능력";#N/A,#N/A,TRUE,"YKD"}</definedName>
    <definedName name="기아" hidden="1">{#N/A,#N/A,FALSE,"단축1";#N/A,#N/A,FALSE,"단축2";#N/A,#N/A,FALSE,"단축3";#N/A,#N/A,FALSE,"장축";#N/A,#N/A,FALSE,"4WD"}</definedName>
    <definedName name="기아1" hidden="1">{#N/A,#N/A,FALSE,"단축1";#N/A,#N/A,FALSE,"단축2";#N/A,#N/A,FALSE,"단축3";#N/A,#N/A,FALSE,"장축";#N/A,#N/A,FALSE,"4WD"}</definedName>
    <definedName name="김진" hidden="1">{#N/A,#N/A,FALSE,"단축1";#N/A,#N/A,FALSE,"단축2";#N/A,#N/A,FALSE,"단축3";#N/A,#N/A,FALSE,"장축";#N/A,#N/A,FALSE,"4WD"}</definedName>
    <definedName name="ㄳㄱ" hidden="1">{#N/A,#N/A,FALSE,"단축1";#N/A,#N/A,FALSE,"단축2";#N/A,#N/A,FALSE,"단축3";#N/A,#N/A,FALSE,"장축";#N/A,#N/A,FALSE,"4WD"}</definedName>
    <definedName name="ㄳㅎㄹㅇ" hidden="1">{#N/A,#N/A,FALSE,"단축1";#N/A,#N/A,FALSE,"단축2";#N/A,#N/A,FALSE,"단축3";#N/A,#N/A,FALSE,"장축";#N/A,#N/A,FALSE,"4WD"}</definedName>
    <definedName name="ㄴㄴㄴㄴㄴ" hidden="1">{#N/A,#N/A,FALSE,"단축1";#N/A,#N/A,FALSE,"단축2";#N/A,#N/A,FALSE,"단축3";#N/A,#N/A,FALSE,"장축";#N/A,#N/A,FALSE,"4WD"}</definedName>
    <definedName name="ㄴㄹ" hidden="1">{#N/A,#N/A,FALSE,"단축1";#N/A,#N/A,FALSE,"단축2";#N/A,#N/A,FALSE,"단축3";#N/A,#N/A,FALSE,"장축";#N/A,#N/A,FALSE,"4WD"}</definedName>
    <definedName name="ㄴㅁㅁㄴㄴ" hidden="1">{"AQUIRORDCF",#N/A,FALSE,"Merger consequences";"Acquirorassns",#N/A,FALSE,"Merger consequences"}</definedName>
    <definedName name="ㄴㅁㅇ" hidden="1">{"qchm_dcf",#N/A,FALSE,"QCHMDCF2";"qchm_terminal",#N/A,FALSE,"QCHMDCF2"}</definedName>
    <definedName name="ㄴㅁㅇㅎㅇ롱로" localSheetId="1" hidden="1">#REF!</definedName>
    <definedName name="ㄴㅁㅇㅎㅇ롱로" localSheetId="0" hidden="1">#REF!</definedName>
    <definedName name="ㄴㅁㅇㅎㅇ롱로" hidden="1">#REF!</definedName>
    <definedName name="ㄴㅇ" hidden="1">{#N/A,#N/A,FALSE,"단축1";#N/A,#N/A,FALSE,"단축2";#N/A,#N/A,FALSE,"단축3";#N/A,#N/A,FALSE,"장축";#N/A,#N/A,FALSE,"4WD"}</definedName>
    <definedName name="ㄴㅇㄴㅇㅀㄹㅇㅎㅇㅀㅎ" hidden="1">{#N/A,#N/A,FALSE,"단축1";#N/A,#N/A,FALSE,"단축2";#N/A,#N/A,FALSE,"단축3";#N/A,#N/A,FALSE,"장축";#N/A,#N/A,FALSE,"4WD"}</definedName>
    <definedName name="ㄴㅇㄹㅈ디ㅏ러" localSheetId="1" hidden="1">#REF!</definedName>
    <definedName name="ㄴㅇㄹㅈ디ㅏ러" localSheetId="0" hidden="1">#REF!</definedName>
    <definedName name="ㄴㅇㄹㅈ디ㅏ러" hidden="1">#REF!</definedName>
    <definedName name="ㄴㅇㅁㄹ" hidden="1">{#N/A,#N/A,FALSE,"단축1";#N/A,#N/A,FALSE,"단축2";#N/A,#N/A,FALSE,"단축3";#N/A,#N/A,FALSE,"장축";#N/A,#N/A,FALSE,"4WD"}</definedName>
    <definedName name="ㄴㅇㅇㄹㄴㄴㄹㅇ" hidden="1">{"targetdcf",#N/A,FALSE,"Merger consequences";"TARGETASSU",#N/A,FALSE,"Merger consequences";"TERMINAL VALUE",#N/A,FALSE,"Merger consequences"}</definedName>
    <definedName name="ㄴㅇㅇㄹㄴㅇㄹ" hidden="1">{"qchm_dcf",#N/A,FALSE,"QCHMDCF2";"qchm_terminal",#N/A,FALSE,"QCHMDCF2"}</definedName>
    <definedName name="ㄴㅋ" hidden="1">{#N/A,#N/A,FALSE,"단축1";#N/A,#N/A,FALSE,"단축2";#N/A,#N/A,FALSE,"단축3";#N/A,#N/A,FALSE,"장축";#N/A,#N/A,FALSE,"4WD"}</definedName>
    <definedName name="내구현황2" hidden="1">{#N/A,#N/A,FALSE,"단축1";#N/A,#N/A,FALSE,"단축2";#N/A,#N/A,FALSE,"단축3";#N/A,#N/A,FALSE,"장축";#N/A,#N/A,FALSE,"4WD"}</definedName>
    <definedName name="너" hidden="1">{#N/A,#N/A,FALSE,"단축1";#N/A,#N/A,FALSE,"단축2";#N/A,#N/A,FALSE,"단축3";#N/A,#N/A,FALSE,"장축";#N/A,#N/A,FALSE,"4WD"}</definedName>
    <definedName name="네" hidden="1">{#N/A,#N/A,FALSE,"단축1";#N/A,#N/A,FALSE,"단축2";#N/A,#N/A,FALSE,"단축3";#N/A,#N/A,FALSE,"장축";#N/A,#N/A,FALSE,"4WD"}</definedName>
    <definedName name="ㄷㄷ" hidden="1">{#N/A,#N/A,TRUE,"Y생산";#N/A,#N/A,TRUE,"Y판매";#N/A,#N/A,TRUE,"Y총물량";#N/A,#N/A,TRUE,"Y능력";#N/A,#N/A,TRUE,"YKD"}</definedName>
    <definedName name="ㄷㄷㄷ" hidden="1">{"'표지'!$B$5"}</definedName>
    <definedName name="ㄷㅇ" hidden="1">{#N/A,#N/A,TRUE,"Y생산";#N/A,#N/A,TRUE,"Y판매";#N/A,#N/A,TRUE,"Y총물량";#N/A,#N/A,TRUE,"Y능력";#N/A,#N/A,TRUE,"YKD"}</definedName>
    <definedName name="다른것" hidden="1">{"targetdcf",#N/A,FALSE,"Merger consequences";"TARGETASSU",#N/A,FALSE,"Merger consequences";"TERMINAL VALUE",#N/A,FALSE,"Merger consequences"}</definedName>
    <definedName name="단가기준" hidden="1">{#N/A,#N/A,TRUE,"Y생산";#N/A,#N/A,TRUE,"Y판매";#N/A,#N/A,TRUE,"Y총물량";#N/A,#N/A,TRUE,"Y능력";#N/A,#N/A,TRUE,"YKD"}</definedName>
    <definedName name="단기" hidden="1">{#N/A,#N/A,TRUE,"Y생산";#N/A,#N/A,TRUE,"Y판매";#N/A,#N/A,TRUE,"Y총물량";#N/A,#N/A,TRUE,"Y능력";#N/A,#N/A,TRUE,"YKD"}</definedName>
    <definedName name="담당">[5]코드표!$A$2:$A$30</definedName>
    <definedName name="담당별조정" hidden="1">{#N/A,#N/A,FALSE,"신규dep";#N/A,#N/A,FALSE,"신규dep-금형상각후";#N/A,#N/A,FALSE,"신규dep-연구비상각후";#N/A,#N/A,FALSE,"신규dep-기계,공구상각후"}</definedName>
    <definedName name="대상" hidden="1">{#N/A,#N/A,FALSE,"단축1";#N/A,#N/A,FALSE,"단축2";#N/A,#N/A,FALSE,"단축3";#N/A,#N/A,FALSE,"장축";#N/A,#N/A,FALSE,"4WD"}</definedName>
    <definedName name="대차대조표" hidden="1">{#N/A,#N/A,TRUE,"손익현황";#N/A,#N/A,TRUE,"재무현황";#N/A,#N/A,TRUE,"자금운용";#N/A,#N/A,TRUE,"현금흐름";#N/A,#N/A,TRUE,"판매현황";#N/A,#N/A,TRUE,"생산현황";#N/A,#N/A,TRUE,"손익분석";#N/A,#N/A,TRUE,"판매분석";#N/A,#N/A,TRUE,"생산분석";#N/A,#N/A,TRUE,"투자";#N/A,#N/A,TRUE,"기타";#N/A,#N/A,TRUE,"표지";#N/A,#N/A,TRUE,"목차"}</definedName>
    <definedName name="도면" hidden="1">{#N/A,#N/A,TRUE,"손익현황";#N/A,#N/A,TRUE,"재무현황";#N/A,#N/A,TRUE,"자금운용";#N/A,#N/A,TRUE,"현금흐름";#N/A,#N/A,TRUE,"판매현황";#N/A,#N/A,TRUE,"생산현황";#N/A,#N/A,TRUE,"손익분석";#N/A,#N/A,TRUE,"판매분석";#N/A,#N/A,TRUE,"생산분석";#N/A,#N/A,TRUE,"투자";#N/A,#N/A,TRUE,"기타";#N/A,#N/A,TRUE,"표지";#N/A,#N/A,TRUE,"목차"}</definedName>
    <definedName name="도어" localSheetId="1" hidden="1">[6]CAUDIT!#REF!</definedName>
    <definedName name="도어" localSheetId="0" hidden="1">[6]CAUDIT!#REF!</definedName>
    <definedName name="도어" hidden="1">[6]CAUDIT!#REF!</definedName>
    <definedName name="도어1" localSheetId="1" hidden="1">[6]CAUDIT!#REF!</definedName>
    <definedName name="도어1" localSheetId="0" hidden="1">[6]CAUDIT!#REF!</definedName>
    <definedName name="도어1" hidden="1">[6]CAUDIT!#REF!</definedName>
    <definedName name="도장" hidden="1">{#N/A,#N/A,FALSE,"단축1";#N/A,#N/A,FALSE,"단축2";#N/A,#N/A,FALSE,"단축3";#N/A,#N/A,FALSE,"장축";#N/A,#N/A,FALSE,"4WD"}</definedName>
    <definedName name="도장1" hidden="1">{#N/A,#N/A,FALSE,"단축1";#N/A,#N/A,FALSE,"단축2";#N/A,#N/A,FALSE,"단축3";#N/A,#N/A,FALSE,"장축";#N/A,#N/A,FALSE,"4WD"}</definedName>
    <definedName name="디젤1" hidden="1">{#N/A,#N/A,FALSE,"단축1";#N/A,#N/A,FALSE,"단축2";#N/A,#N/A,FALSE,"단축3";#N/A,#N/A,FALSE,"장축";#N/A,#N/A,FALSE,"4WD"}</definedName>
    <definedName name="ㄹ" hidden="1">{#N/A,#N/A,TRUE,"Y생산";#N/A,#N/A,TRUE,"Y판매";#N/A,#N/A,TRUE,"Y총물량";#N/A,#N/A,TRUE,"Y능력";#N/A,#N/A,TRUE,"YKD"}</definedName>
    <definedName name="ㄹㄴㅇ러ㅏ" hidden="1">{#N/A,#N/A,FALSE,"단축1";#N/A,#N/A,FALSE,"단축2";#N/A,#N/A,FALSE,"단축3";#N/A,#N/A,FALSE,"장축";#N/A,#N/A,FALSE,"4WD"}</definedName>
    <definedName name="ㄹㄹㄽ" hidden="1">{#N/A,#N/A,FALSE,"유첨2-1";#N/A,#N/A,FALSE,"2-2";#N/A,#N/A,FALSE,"2-3";#N/A,#N/A,FALSE,"2-4";#N/A,#N/A,FALSE,"2-5";#N/A,#N/A,FALSE,"2-6";#N/A,#N/A,FALSE,"2-7";#N/A,#N/A,FALSE,"2-8";#N/A,#N/A,FALSE,"2-9"}</definedName>
    <definedName name="ㄹ로어" hidden="1">{"targetdcf",#N/A,FALSE,"Merger consequences";"TARGETASSU",#N/A,FALSE,"Merger consequences";"TERMINAL VALUE",#N/A,FALSE,"Merger consequences"}</definedName>
    <definedName name="ㄹㅇ" hidden="1">{#N/A,#N/A,TRUE,"Y생산";#N/A,#N/A,TRUE,"Y판매";#N/A,#N/A,TRUE,"Y총물량";#N/A,#N/A,TRUE,"Y능력";#N/A,#N/A,TRUE,"YKD"}</definedName>
    <definedName name="ㄹ호ㅓㅓ" hidden="1">{#N/A,#N/A,FALSE,"단축1";#N/A,#N/A,FALSE,"단축2";#N/A,#N/A,FALSE,"단축3";#N/A,#N/A,FALSE,"장축";#N/A,#N/A,FALSE,"4WD"}</definedName>
    <definedName name="ㄹ히" hidden="1">{#N/A,#N/A,TRUE,"Y생산";#N/A,#N/A,TRUE,"Y판매";#N/A,#N/A,TRUE,"Y총물량";#N/A,#N/A,TRUE,"Y능력";#N/A,#N/A,TRUE,"YKD"}</definedName>
    <definedName name="랑랑" hidden="1">{#N/A,#N/A,FALSE,"단축1";#N/A,#N/A,FALSE,"단축2";#N/A,#N/A,FALSE,"단축3";#N/A,#N/A,FALSE,"장축";#N/A,#N/A,FALSE,"4WD"}</definedName>
    <definedName name="러시아" hidden="1">{#N/A,#N/A,FALSE,"단축1";#N/A,#N/A,FALSE,"단축2";#N/A,#N/A,FALSE,"단축3";#N/A,#N/A,FALSE,"장축";#N/A,#N/A,FALSE,"4WD"}</definedName>
    <definedName name="레이아웃" localSheetId="1" hidden="1">#REF!</definedName>
    <definedName name="레이아웃" localSheetId="0" hidden="1">#REF!</definedName>
    <definedName name="레이아웃" hidden="1">#REF!</definedName>
    <definedName name="로커망러ㅏ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루" hidden="1">{#N/A,#N/A,FALSE,"단축1";#N/A,#N/A,FALSE,"단축2";#N/A,#N/A,FALSE,"단축3";#N/A,#N/A,FALSE,"장축";#N/A,#N/A,FALSE,"4WD"}</definedName>
    <definedName name="ㅀ로" hidden="1">{#N/A,#N/A,FALSE,"단축1";#N/A,#N/A,FALSE,"단축2";#N/A,#N/A,FALSE,"단축3";#N/A,#N/A,FALSE,"장축";#N/A,#N/A,FALSE,"4WD"}</definedName>
    <definedName name="ㅀㅇ" localSheetId="1" hidden="1">#REF!</definedName>
    <definedName name="ㅀㅇ" localSheetId="0" hidden="1">#REF!</definedName>
    <definedName name="ㅀㅇ" hidden="1">#REF!</definedName>
    <definedName name="ㅁㄴㄴㅇ" hidden="1">{"targetdcf",#N/A,FALSE,"Merger consequences";"TARGETASSU",#N/A,FALSE,"Merger consequences";"TERMINAL VALUE",#N/A,FALSE,"Merger consequences"}</definedName>
    <definedName name="ㅁㄴㄻㄴㄹㄴㅇ" hidden="1">{"qchm_dcf",#N/A,FALSE,"QCHMDCF2";"qchm_terminal",#N/A,FALSE,"QCHMDCF2"}</definedName>
    <definedName name="ㅁㄴㅁㄴ" hidden="1">{"Acq_matrix",#N/A,FALSE,"Acquisition Matrix"}</definedName>
    <definedName name="ㅁㄴㅇㄴㄹ" hidden="1">{"targetdcf",#N/A,FALSE,"Merger consequences";"TARGETASSU",#N/A,FALSE,"Merger consequences";"TERMINAL VALUE",#N/A,FALSE,"Merger consequences"}</definedName>
    <definedName name="ㅁㅇ" hidden="1">{#N/A,#N/A,TRUE,"Y생산";#N/A,#N/A,TRUE,"Y판매";#N/A,#N/A,TRUE,"Y총물량";#N/A,#N/A,TRUE,"Y능력";#N/A,#N/A,TRUE,"YKD"}</definedName>
    <definedName name="ㅁㅇㄴㄻㄴ" hidden="1">{"AQUIRORDCF",#N/A,FALSE,"Merger consequences";"Acquirorassns",#N/A,FALSE,"Merger consequences"}</definedName>
    <definedName name="ㅁㅇㄹ" hidden="1">{#N/A,#N/A,FALSE,"단축1";#N/A,#N/A,FALSE,"단축2";#N/A,#N/A,FALSE,"단축3";#N/A,#N/A,FALSE,"장축";#N/A,#N/A,FALSE,"4WD"}</definedName>
    <definedName name="ㅁㅈㅂㅈㅂ" localSheetId="1" hidden="1">#REF!</definedName>
    <definedName name="ㅁㅈㅂㅈㅂ" localSheetId="0" hidden="1">#REF!</definedName>
    <definedName name="ㅁㅈㅂㅈㅂ" hidden="1">#REF!</definedName>
    <definedName name="말자" hidden="1">{#N/A,#N/A,FALSE,"단축1";#N/A,#N/A,FALSE,"단축2";#N/A,#N/A,FALSE,"단축3";#N/A,#N/A,FALSE,"장축";#N/A,#N/A,FALSE,"4WD"}</definedName>
    <definedName name="매출" hidden="1">{#N/A,#N/A,FALSE,"표지";#N/A,#N/A,FALSE,"1.손익현황";#N/A,#N/A,FALSE,"첨1.손익분석";#N/A,#N/A,FALSE,"2.재무재표";#N/A,#N/A,FALSE,"3.자금현황";#N/A,#N/A,FALSE,"4.생산판매"}</definedName>
    <definedName name="매출단가" hidden="1">{#N/A,#N/A,FALSE,"표지";#N/A,#N/A,FALSE,"1.손익현황";#N/A,#N/A,FALSE,"첨1.손익분석";#N/A,#N/A,FALSE,"2.재무재표";#N/A,#N/A,FALSE,"3.자금현황";#N/A,#N/A,FALSE,"4.생산판매"}</definedName>
    <definedName name="매출단가분석10월" hidden="1">{#N/A,#N/A,TRUE,"손익현황";#N/A,#N/A,TRUE,"재무현황";#N/A,#N/A,TRUE,"자금운용";#N/A,#N/A,TRUE,"현금흐름";#N/A,#N/A,TRUE,"판매현황";#N/A,#N/A,TRUE,"생산현황";#N/A,#N/A,TRUE,"손익분석";#N/A,#N/A,TRUE,"판매분석";#N/A,#N/A,TRUE,"생산분석";#N/A,#N/A,TRUE,"투자";#N/A,#N/A,TRUE,"기타";#N/A,#N/A,TRUE,"표지";#N/A,#N/A,TRUE,"목차"}</definedName>
    <definedName name="매출분석" hidden="1">{#N/A,#N/A,TRUE,"손익현황";#N/A,#N/A,TRUE,"재무현황";#N/A,#N/A,TRUE,"자금운용";#N/A,#N/A,TRUE,"현금흐름";#N/A,#N/A,TRUE,"판매현황";#N/A,#N/A,TRUE,"생산현황";#N/A,#N/A,TRUE,"손익분석";#N/A,#N/A,TRUE,"판매분석";#N/A,#N/A,TRUE,"생산분석";#N/A,#N/A,TRUE,"투자";#N/A,#N/A,TRUE,"기타";#N/A,#N/A,TRUE,"표지";#N/A,#N/A,TRUE,"목차"}</definedName>
    <definedName name="먀" hidden="1">{#N/A,#N/A,FALSE,"단축1";#N/A,#N/A,FALSE,"단축2";#N/A,#N/A,FALSE,"단축3";#N/A,#N/A,FALSE,"장축";#N/A,#N/A,FALSE,"4WD"}</definedName>
    <definedName name="목차" hidden="1">{#N/A,#N/A,FALSE,"1.참가신청";#N/A,#N/A,FALSE,"2.개발성과";#N/A,#N/A,FALSE,"3.활용현황";#N/A,#N/A,FALSE,"4.상호명";#N/A,#N/A,FALSE,"5.포상신청";#N/A,#N/A,FALSE,"산업재산권";#N/A,#N/A,FALSE,"산출내역";#N/A,#N/A,FALSE,"인적사항"}</definedName>
    <definedName name="문제" hidden="1">{#N/A,#N/A,FALSE,"단축1";#N/A,#N/A,FALSE,"단축2";#N/A,#N/A,FALSE,"단축3";#N/A,#N/A,FALSE,"장축";#N/A,#N/A,FALSE,"4WD"}</definedName>
    <definedName name="문제점엔진" hidden="1">{#N/A,#N/A,FALSE,"단축1";#N/A,#N/A,FALSE,"단축2";#N/A,#N/A,FALSE,"단축3";#N/A,#N/A,FALSE,"장축";#N/A,#N/A,FALSE,"4WD"}</definedName>
    <definedName name="물랴자" hidden="1">{#N/A,#N/A,TRUE,"Y생산";#N/A,#N/A,TRUE,"Y판매";#N/A,#N/A,TRUE,"Y총물량";#N/A,#N/A,TRUE,"Y능력";#N/A,#N/A,TRUE,"YKD"}</definedName>
    <definedName name="물량수" hidden="1">{#N/A,#N/A,TRUE,"Y생산";#N/A,#N/A,TRUE,"Y판매";#N/A,#N/A,TRUE,"Y총물량";#N/A,#N/A,TRUE,"Y능력";#N/A,#N/A,TRUE,"YKD"}</definedName>
    <definedName name="물량수정" hidden="1">{#N/A,#N/A,TRUE,"Y생산";#N/A,#N/A,TRUE,"Y판매";#N/A,#N/A,TRUE,"Y총물량";#N/A,#N/A,TRUE,"Y능력";#N/A,#N/A,TRUE,"YKD"}</definedName>
    <definedName name="물량수정1" hidden="1">{#N/A,#N/A,TRUE,"Y생산";#N/A,#N/A,TRUE,"Y판매";#N/A,#N/A,TRUE,"Y총물량";#N/A,#N/A,TRUE,"Y능력";#N/A,#N/A,TRUE,"YKD"}</definedName>
    <definedName name="물량수정2" hidden="1">{#N/A,#N/A,TRUE,"Y생산";#N/A,#N/A,TRUE,"Y판매";#N/A,#N/A,TRUE,"Y총물량";#N/A,#N/A,TRUE,"Y능력";#N/A,#N/A,TRUE,"YKD"}</definedName>
    <definedName name="물량수정3" hidden="1">{#N/A,#N/A,TRUE,"Y생산";#N/A,#N/A,TRUE,"Y판매";#N/A,#N/A,TRUE,"Y총물량";#N/A,#N/A,TRUE,"Y능력";#N/A,#N/A,TRUE,"YKD"}</definedName>
    <definedName name="물량수정4" hidden="1">{#N/A,#N/A,TRUE,"Y생산";#N/A,#N/A,TRUE,"Y판매";#N/A,#N/A,TRUE,"Y총물량";#N/A,#N/A,TRUE,"Y능력";#N/A,#N/A,TRUE,"YKD"}</definedName>
    <definedName name="물량정" hidden="1">{#N/A,#N/A,TRUE,"Y생산";#N/A,#N/A,TRUE,"Y판매";#N/A,#N/A,TRUE,"Y총물량";#N/A,#N/A,TRUE,"Y능력";#N/A,#N/A,TRUE,"YKD"}</definedName>
    <definedName name="물량정1" hidden="1">{#N/A,#N/A,TRUE,"Y생산";#N/A,#N/A,TRUE,"Y판매";#N/A,#N/A,TRUE,"Y총물량";#N/A,#N/A,TRUE,"Y능력";#N/A,#N/A,TRUE,"YKD"}</definedName>
    <definedName name="물량조정" hidden="1">{#N/A,#N/A,TRUE,"Y생산";#N/A,#N/A,TRUE,"Y판매";#N/A,#N/A,TRUE,"Y총물량";#N/A,#N/A,TRUE,"Y능력";#N/A,#N/A,TRUE,"YKD"}</definedName>
    <definedName name="물량조정3" hidden="1">{#N/A,#N/A,TRUE,"Y생산";#N/A,#N/A,TRUE,"Y판매";#N/A,#N/A,TRUE,"Y총물량";#N/A,#N/A,TRUE,"Y능력";#N/A,#N/A,TRUE,"YKD"}</definedName>
    <definedName name="물수" hidden="1">{#N/A,#N/A,TRUE,"Y생산";#N/A,#N/A,TRUE,"Y판매";#N/A,#N/A,TRUE,"Y총물량";#N/A,#N/A,TRUE,"Y능력";#N/A,#N/A,TRUE,"YKD"}</definedName>
    <definedName name="뮻" hidden="1">{#N/A,#N/A,FALSE,"단축1";#N/A,#N/A,FALSE,"단축2";#N/A,#N/A,FALSE,"단축3";#N/A,#N/A,FALSE,"장축";#N/A,#N/A,FALSE,"4WD"}</definedName>
    <definedName name="미진" hidden="1">{#N/A,#N/A,FALSE,"단축1";#N/A,#N/A,FALSE,"단축2";#N/A,#N/A,FALSE,"단축3";#N/A,#N/A,FALSE,"장축";#N/A,#N/A,FALSE,"4WD"}</definedName>
    <definedName name="밑그림" hidden="1">{#N/A,#N/A,FALSE,"단축1";#N/A,#N/A,FALSE,"단축2";#N/A,#N/A,FALSE,"단축3";#N/A,#N/A,FALSE,"장축";#N/A,#N/A,FALSE,"4WD"}</definedName>
    <definedName name="ㅂ" hidden="1">{#N/A,#N/A,TRUE,"Y생산";#N/A,#N/A,TRUE,"Y판매";#N/A,#N/A,TRUE,"Y총물량";#N/A,#N/A,TRUE,"Y능력";#N/A,#N/A,TRUE,"YKD"}</definedName>
    <definedName name="ㅂㅂㅂ" hidden="1">{"targetdcf",#N/A,FALSE,"Merger consequences";"TARGETASSU",#N/A,FALSE,"Merger consequences";"TERMINAL VALUE",#N/A,FALSE,"Merger consequences"}</definedName>
    <definedName name="바바라" hidden="1">{#N/A,#N/A,TRUE,"Y생산";#N/A,#N/A,TRUE,"Y판매";#N/A,#N/A,TRUE,"Y총물량";#N/A,#N/A,TRUE,"Y능력";#N/A,#N/A,TRUE,"YKD"}</definedName>
    <definedName name="박기수" hidden="1">{#N/A,#N/A,FALSE,"총괄수정"}</definedName>
    <definedName name="박명용" hidden="1">{#N/A,#N/A,TRUE,"Y생산";#N/A,#N/A,TRUE,"Y판매";#N/A,#N/A,TRUE,"Y총물량";#N/A,#N/A,TRUE,"Y능력";#N/A,#N/A,TRUE,"YKD"}</definedName>
    <definedName name="박상용" hidden="1">{#N/A,#N/A,FALSE,"총괄수정"}</definedName>
    <definedName name="버가" hidden="1">{#N/A,#N/A,FALSE,"96 3월물량표";#N/A,#N/A,FALSE,"96 4월물량표";#N/A,#N/A,FALSE,"96 5월물량표"}</definedName>
    <definedName name="벨지안" hidden="1">{#N/A,#N/A,FALSE,"단축1";#N/A,#N/A,FALSE,"단축2";#N/A,#N/A,FALSE,"단축3";#N/A,#N/A,FALSE,"장축";#N/A,#N/A,FALSE,"4WD"}</definedName>
    <definedName name="변경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변경범위2" hidden="1">{#N/A,#N/A,FALSE,"단축1";#N/A,#N/A,FALSE,"단축2";#N/A,#N/A,FALSE,"단축3";#N/A,#N/A,FALSE,"장축";#N/A,#N/A,FALSE,"4WD"}</definedName>
    <definedName name="변경후" hidden="1">{#N/A,#N/A,FALSE,"단축1";#N/A,#N/A,FALSE,"단축2";#N/A,#N/A,FALSE,"단축3";#N/A,#N/A,FALSE,"장축";#N/A,#N/A,FALSE,"4WD"}</definedName>
    <definedName name="병2" hidden="1">{#N/A,#N/A,FALSE,"단축1";#N/A,#N/A,FALSE,"단축2";#N/A,#N/A,FALSE,"단축3";#N/A,#N/A,FALSE,"장축";#N/A,#N/A,FALSE,"4WD"}</definedName>
    <definedName name="병이라나이랑" hidden="1">{#N/A,#N/A,FALSE,"96 3월물량표";#N/A,#N/A,FALSE,"96 4월물량표";#N/A,#N/A,FALSE,"96 5월물량표"}</definedName>
    <definedName name="보고1" hidden="1">{#N/A,#N/A,FALSE,"단축1";#N/A,#N/A,FALSE,"단축2";#N/A,#N/A,FALSE,"단축3";#N/A,#N/A,FALSE,"장축";#N/A,#N/A,FALSE,"4WD"}</definedName>
    <definedName name="보고서1" hidden="1">{#N/A,#N/A,FALSE,"단축1";#N/A,#N/A,FALSE,"단축2";#N/A,#N/A,FALSE,"단축3";#N/A,#N/A,FALSE,"장축";#N/A,#N/A,FALSE,"4WD"}</definedName>
    <definedName name="분" hidden="1">{#N/A,#N/A,FALSE,"단축1";#N/A,#N/A,FALSE,"단축2";#N/A,#N/A,FALSE,"단축3";#N/A,#N/A,FALSE,"장축";#N/A,#N/A,FALSE,"4WD"}</definedName>
    <definedName name="분기별" hidden="1">{#N/A,#N/A,TRUE,"Y생산";#N/A,#N/A,TRUE,"Y판매";#N/A,#N/A,TRUE,"Y총물량";#N/A,#N/A,TRUE,"Y능력";#N/A,#N/A,TRUE,"YKD"}</definedName>
    <definedName name="비비" hidden="1">{#N/A,#N/A,FALSE,"단축1";#N/A,#N/A,FALSE,"단축2";#N/A,#N/A,FALSE,"단축3";#N/A,#N/A,FALSE,"장축";#N/A,#N/A,FALSE,"4WD"}</definedName>
    <definedName name="ㅅ" hidden="1">{#N/A,#N/A,TRUE,"Y생산";#N/A,#N/A,TRUE,"Y판매";#N/A,#N/A,TRUE,"Y총물량";#N/A,#N/A,TRUE,"Y능력";#N/A,#N/A,TRUE,"YKD"}</definedName>
    <definedName name="사양서표지" hidden="1">{#N/A,#N/A,FALSE,"단축1";#N/A,#N/A,FALSE,"단축2";#N/A,#N/A,FALSE,"단축3";#N/A,#N/A,FALSE,"장축";#N/A,#N/A,FALSE,"4WD"}</definedName>
    <definedName name="사진" hidden="1">{#N/A,#N/A,FALSE,"단축1";#N/A,#N/A,FALSE,"단축2";#N/A,#N/A,FALSE,"단축3";#N/A,#N/A,FALSE,"장축";#N/A,#N/A,FALSE,"4WD"}</definedName>
    <definedName name="사진2" hidden="1">{#N/A,#N/A,FALSE,"단축1";#N/A,#N/A,FALSE,"단축2";#N/A,#N/A,FALSE,"단축3";#N/A,#N/A,FALSE,"장축";#N/A,#N/A,FALSE,"4WD"}</definedName>
    <definedName name="산젖" hidden="1">{#N/A,#N/A,FALSE,"단축1";#N/A,#N/A,FALSE,"단축2";#N/A,#N/A,FALSE,"단축3";#N/A,#N/A,FALSE,"장축";#N/A,#N/A,FALSE,"4WD"}</definedName>
    <definedName name="상도2" hidden="1">{#N/A,#N/A,FALSE,"단축1";#N/A,#N/A,FALSE,"단축2";#N/A,#N/A,FALSE,"단축3";#N/A,#N/A,FALSE,"장축";#N/A,#N/A,FALSE,"4WD"}</definedName>
    <definedName name="상세계획" hidden="1">{#N/A,#N/A,FALSE,"단축1";#N/A,#N/A,FALSE,"단축2";#N/A,#N/A,FALSE,"단축3";#N/A,#N/A,FALSE,"장축";#N/A,#N/A,FALSE,"4WD"}</definedName>
    <definedName name="상품성보고" localSheetId="1" hidden="1">'[1]#REF'!#REF!</definedName>
    <definedName name="상품성보고" localSheetId="0" hidden="1">'[1]#REF'!#REF!</definedName>
    <definedName name="상품성보고" hidden="1">'[1]#REF'!#REF!</definedName>
    <definedName name="생산TON" hidden="1">{#N/A,#N/A,TRUE,"Y생산";#N/A,#N/A,TRUE,"Y판매";#N/A,#N/A,TRUE,"Y총물량";#N/A,#N/A,TRUE,"Y능력";#N/A,#N/A,TRUE,"YKD"}</definedName>
    <definedName name="생산특장2" hidden="1">{#N/A,#N/A,TRUE,"Y생산";#N/A,#N/A,TRUE,"Y판매";#N/A,#N/A,TRUE,"Y총물량";#N/A,#N/A,TRUE,"Y능력";#N/A,#N/A,TRUE,"YKD"}</definedName>
    <definedName name="생산합격" hidden="1">{#N/A,#N/A,TRUE,"Y생산";#N/A,#N/A,TRUE,"Y판매";#N/A,#N/A,TRUE,"Y총물량";#N/A,#N/A,TRUE,"Y능력";#N/A,#N/A,TRUE,"YKD"}</definedName>
    <definedName name="석" hidden="1">{#N/A,#N/A,FALSE,"단축1";#N/A,#N/A,FALSE,"단축2";#N/A,#N/A,FALSE,"단축3";#N/A,#N/A,FALSE,"장축";#N/A,#N/A,FALSE,"4WD"}</definedName>
    <definedName name="설설" hidden="1">{#N/A,#N/A,FALSE,"단축1";#N/A,#N/A,FALSE,"단축2";#N/A,#N/A,FALSE,"단축3";#N/A,#N/A,FALSE,"장축";#N/A,#N/A,FALSE,"4WD"}</definedName>
    <definedName name="성능시험2" hidden="1">{#N/A,#N/A,FALSE,"단축1";#N/A,#N/A,FALSE,"단축2";#N/A,#N/A,FALSE,"단축3";#N/A,#N/A,FALSE,"장축";#N/A,#N/A,FALSE,"4WD"}</definedName>
    <definedName name="세부생산계획" hidden="1">{#N/A,#N/A,TRUE,"Y생산";#N/A,#N/A,TRUE,"Y판매";#N/A,#N/A,TRUE,"Y총물량";#N/A,#N/A,TRUE,"Y능력";#N/A,#N/A,TRUE,"YKD"}</definedName>
    <definedName name="셀리카" localSheetId="1" hidden="1">#REF!</definedName>
    <definedName name="셀리카" localSheetId="0" hidden="1">#REF!</definedName>
    <definedName name="셀리카" hidden="1">#REF!</definedName>
    <definedName name="소" hidden="1">{#N/A,#N/A,TRUE,"Y생산";#N/A,#N/A,TRUE,"Y판매";#N/A,#N/A,TRUE,"Y총물량";#N/A,#N/A,TRUE,"Y능력";#N/A,#N/A,TRUE,"YKD"}</definedName>
    <definedName name="소하프로젝트" hidden="1">{#N/A,#N/A,FALSE,"단축1";#N/A,#N/A,FALSE,"단축2";#N/A,#N/A,FALSE,"단축3";#N/A,#N/A,FALSE,"장축";#N/A,#N/A,FALSE,"4WD"}</definedName>
    <definedName name="소형투자" hidden="1">{#N/A,#N/A,FALSE,"총괄수정"}</definedName>
    <definedName name="송" hidden="1">{#N/A,#N/A,TRUE,"Y생산";#N/A,#N/A,TRUE,"Y판매";#N/A,#N/A,TRUE,"Y총물량";#N/A,#N/A,TRUE,"Y능력";#N/A,#N/A,TRUE,"YKD"}</definedName>
    <definedName name="송창기" hidden="1">{#N/A,#N/A,TRUE,"Y생산";#N/A,#N/A,TRUE,"Y판매";#N/A,#N/A,TRUE,"Y총물량";#N/A,#N/A,TRUE,"Y능력";#N/A,#N/A,TRUE,"YKD"}</definedName>
    <definedName name="쇼쇼쇼쇼쇼쇼쇼쇼쇼쇼" hidden="1">{#N/A,#N/A,FALSE,"단축1";#N/A,#N/A,FALSE,"단축2";#N/A,#N/A,FALSE,"단축3";#N/A,#N/A,FALSE,"장축";#N/A,#N/A,FALSE,"4WD"}</definedName>
    <definedName name="수정물량" hidden="1">{#N/A,#N/A,TRUE,"Y생산";#N/A,#N/A,TRUE,"Y판매";#N/A,#N/A,TRUE,"Y총물량";#N/A,#N/A,TRUE,"Y능력";#N/A,#N/A,TRUE,"YKD"}</definedName>
    <definedName name="수정성능" hidden="1">{#N/A,#N/A,FALSE,"단축1";#N/A,#N/A,FALSE,"단축2";#N/A,#N/A,FALSE,"단축3";#N/A,#N/A,FALSE,"장축";#N/A,#N/A,FALSE,"4WD"}</definedName>
    <definedName name="스" hidden="1">{#N/A,#N/A,FALSE,"단축1";#N/A,#N/A,FALSE,"단축2";#N/A,#N/A,FALSE,"단축3";#N/A,#N/A,FALSE,"장축";#N/A,#N/A,FALSE,"4WD"}</definedName>
    <definedName name="승인권한2" hidden="1">{#N/A,#N/A,FALSE,"단축1";#N/A,#N/A,FALSE,"단축2";#N/A,#N/A,FALSE,"단축3";#N/A,#N/A,FALSE,"장축";#N/A,#N/A,FALSE,"4WD"}</definedName>
    <definedName name="시간" hidden="1">{#N/A,#N/A,TRUE,"Y생산";#N/A,#N/A,TRUE,"Y판매";#N/A,#N/A,TRUE,"Y총물량";#N/A,#N/A,TRUE,"Y능력";#N/A,#N/A,TRUE,"YKD"}</definedName>
    <definedName name="시작계획" hidden="1">{#N/A,#N/A,FALSE,"단축1";#N/A,#N/A,FALSE,"단축2";#N/A,#N/A,FALSE,"단축3";#N/A,#N/A,FALSE,"장축";#N/A,#N/A,FALSE,"4WD"}</definedName>
    <definedName name="시험계획" hidden="1">{#N/A,#N/A,FALSE,"단축1";#N/A,#N/A,FALSE,"단축2";#N/A,#N/A,FALSE,"단축3";#N/A,#N/A,FALSE,"장축";#N/A,#N/A,FALSE,"4WD"}</definedName>
    <definedName name="신" hidden="1">{#N/A,#N/A,FALSE,"단축1";#N/A,#N/A,FALSE,"단축2";#N/A,#N/A,FALSE,"단축3";#N/A,#N/A,FALSE,"장축";#N/A,#N/A,FALSE,"4WD"}</definedName>
    <definedName name="신기술" hidden="1">{#N/A,#N/A,FALSE,"단축1";#N/A,#N/A,FALSE,"단축2";#N/A,#N/A,FALSE,"단축3";#N/A,#N/A,FALSE,"장축";#N/A,#N/A,FALSE,"4WD"}</definedName>
    <definedName name="신동원" hidden="1">{#N/A,#N/A,FALSE,"단축1";#N/A,#N/A,FALSE,"단축2";#N/A,#N/A,FALSE,"단축3";#N/A,#N/A,FALSE,"장축";#N/A,#N/A,FALSE,"4WD"}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장비" hidden="1">{#N/A,#N/A,FALSE,"단축1";#N/A,#N/A,FALSE,"단축2";#N/A,#N/A,FALSE,"단축3";#N/A,#N/A,FALSE,"장축";#N/A,#N/A,FALSE,"4WD"}</definedName>
    <definedName name="신차품질일정" hidden="1">{#N/A,#N/A,FALSE,"단축1";#N/A,#N/A,FALSE,"단축2";#N/A,#N/A,FALSE,"단축3";#N/A,#N/A,FALSE,"장축";#N/A,#N/A,FALSE,"4WD"}</definedName>
    <definedName name="ㅆ3" hidden="1">{#N/A,#N/A,FALSE,"단축1";#N/A,#N/A,FALSE,"단축2";#N/A,#N/A,FALSE,"단축3";#N/A,#N/A,FALSE,"장축";#N/A,#N/A,FALSE,"4WD"}</definedName>
    <definedName name="ㅇ" hidden="1">{#N/A,#N/A,FALSE,"표지";#N/A,#N/A,FALSE,"1.손익현황";#N/A,#N/A,FALSE,"2.재무제표";#N/A,#N/A,FALSE,"3.1자금현황";#N/A,#N/A,FALSE,"3.2현금흐름";#N/A,#N/A,FALSE,"4.판매";#N/A,#N/A,FALSE,"5.생산"}</definedName>
    <definedName name="ㅇㄴㄴㄴㅇ" hidden="1">{"qchm_dcf",#N/A,FALSE,"QCHMDCF2";"qchm_terminal",#N/A,FALSE,"QCHMDCF2"}</definedName>
    <definedName name="ㅇㄴㄹㄹㄹㄹㄹㄹㄹㄴㅇ" hidden="1">{"AQUIRORDCF",#N/A,FALSE,"Merger consequences";"Acquirorassns",#N/A,FALSE,"Merger consequences"}</definedName>
    <definedName name="ㅇㄹ" hidden="1">{#N/A,#N/A,FALSE,"단축1";#N/A,#N/A,FALSE,"단축2";#N/A,#N/A,FALSE,"단축3";#N/A,#N/A,FALSE,"장축";#N/A,#N/A,FALSE,"4WD"}</definedName>
    <definedName name="ㅇㄹㄴ" hidden="1">{#N/A,#N/A,FALSE,"단축1";#N/A,#N/A,FALSE,"단축2";#N/A,#N/A,FALSE,"단축3";#N/A,#N/A,FALSE,"장축";#N/A,#N/A,FALSE,"4WD"}</definedName>
    <definedName name="ㅇㄹㄴㄹㅇ" hidden="1">{#N/A,#N/A,FALSE,"단축1";#N/A,#N/A,FALSE,"단축2";#N/A,#N/A,FALSE,"단축3";#N/A,#N/A,FALSE,"장축";#N/A,#N/A,FALSE,"4WD"}</definedName>
    <definedName name="ㅇㄹㄴㅇ" hidden="1">{"targetdcf",#N/A,FALSE,"Merger consequences";"TARGETASSU",#N/A,FALSE,"Merger consequences";"TERMINAL VALUE",#N/A,FALSE,"Merger consequences"}</definedName>
    <definedName name="ㅇㅇ" localSheetId="1" hidden="1">'[1]#REF'!#REF!</definedName>
    <definedName name="ㅇㅇ" localSheetId="0" hidden="1">'[1]#REF'!#REF!</definedName>
    <definedName name="ㅇㅇ" hidden="1">'[1]#REF'!#REF!</definedName>
    <definedName name="ㅇㅇㅇㅇ" hidden="1">{"targetdcf",#N/A,FALSE,"Merger consequences";"TARGETASSU",#N/A,FALSE,"Merger consequences";"TERMINAL VALUE",#N/A,FALSE,"Merger consequences"}</definedName>
    <definedName name="ㅇㅇㅇㅇㅇㅇㅇㅇㅇ" hidden="1">{"qchm_dcf",#N/A,FALSE,"QCHMDCF2";"qchm_terminal",#N/A,FALSE,"QCHMDCF2"}</definedName>
    <definedName name="ㅇㅇㅇㅇㅎㄱ" hidden="1">{#N/A,#N/A,FALSE,"유첨1-1";#N/A,#N/A,FALSE,"1-2";#N/A,#N/A,FALSE,"1-3";#N/A,#N/A,FALSE,"1-4";#N/A,#N/A,FALSE,"1-5";#N/A,#N/A,FALSE,"1-6";#N/A,#N/A,FALSE,"1-7";#N/A,#N/A,FALSE,"1-8";#N/A,#N/A,FALSE,"1-9"}</definedName>
    <definedName name="아ㅑ" hidden="1">{#N/A,#N/A,FALSE,"단축1";#N/A,#N/A,FALSE,"단축2";#N/A,#N/A,FALSE,"단축3";#N/A,#N/A,FALSE,"장축";#N/A,#N/A,FALSE,"4WD"}</definedName>
    <definedName name="안현모" hidden="1">{#N/A,#N/A,FALSE,"단축1";#N/A,#N/A,FALSE,"단축2";#N/A,#N/A,FALSE,"단축3";#N/A,#N/A,FALSE,"장축";#N/A,#N/A,FALSE,"4WD"}</definedName>
    <definedName name="알" hidden="1">{#N/A,#N/A,FALSE,"단축1";#N/A,#N/A,FALSE,"단축2";#N/A,#N/A,FALSE,"단축3";#N/A,#N/A,FALSE,"장축";#N/A,#N/A,FALSE,"4WD"}</definedName>
    <definedName name="얄술" hidden="1">{#N/A,#N/A,FALSE,"단축1";#N/A,#N/A,FALSE,"단축2";#N/A,#N/A,FALSE,"단축3";#N/A,#N/A,FALSE,"장축";#N/A,#N/A,FALSE,"4WD"}</definedName>
    <definedName name="업체별" hidden="1">{#N/A,#N/A,FALSE,"총괄수정"}</definedName>
    <definedName name="에어컨" hidden="1">{#N/A,#N/A,FALSE,"총괄수정"}</definedName>
    <definedName name="에이" hidden="1">{#N/A,#N/A,TRUE,"Y생산";#N/A,#N/A,TRUE,"Y판매";#N/A,#N/A,TRUE,"Y총물량";#N/A,#N/A,TRUE,"Y능력";#N/A,#N/A,TRUE,"YKD"}</definedName>
    <definedName name="엔진" hidden="1">{#N/A,#N/A,FALSE,"단축1";#N/A,#N/A,FALSE,"단축2";#N/A,#N/A,FALSE,"단축3";#N/A,#N/A,FALSE,"장축";#N/A,#N/A,FALSE,"4WD"}</definedName>
    <definedName name="엔진PT" hidden="1">{#N/A,#N/A,FALSE,"단축1";#N/A,#N/A,FALSE,"단축2";#N/A,#N/A,FALSE,"단축3";#N/A,#N/A,FALSE,"장축";#N/A,#N/A,FALSE,"4WD"}</definedName>
    <definedName name="엔진티엠" hidden="1">{#N/A,#N/A,FALSE,"단축1";#N/A,#N/A,FALSE,"단축2";#N/A,#N/A,FALSE,"단축3";#N/A,#N/A,FALSE,"장축";#N/A,#N/A,FALSE,"4WD"}</definedName>
    <definedName name="연료펌프" localSheetId="1" hidden="1">[7]CAUDIT!#REF!</definedName>
    <definedName name="연료펌프" localSheetId="0" hidden="1">[7]CAUDIT!#REF!</definedName>
    <definedName name="연료펌프" hidden="1">[7]CAUDIT!#REF!</definedName>
    <definedName name="연습파일" hidden="1">{#N/A,#N/A,FALSE,"단축1";#N/A,#N/A,FALSE,"단축2";#N/A,#N/A,FALSE,"단축3";#N/A,#N/A,FALSE,"장축";#N/A,#N/A,FALSE,"4WD"}</definedName>
    <definedName name="영업" localSheetId="1" hidden="1">#REF!</definedName>
    <definedName name="영업" localSheetId="0" hidden="1">#REF!</definedName>
    <definedName name="영업" hidden="1">#REF!</definedName>
    <definedName name="예1" hidden="1">{#N/A,#N/A,FALSE,"유첨1-1";#N/A,#N/A,FALSE,"1-2";#N/A,#N/A,FALSE,"1-3";#N/A,#N/A,FALSE,"1-4";#N/A,#N/A,FALSE,"1-5";#N/A,#N/A,FALSE,"1-6";#N/A,#N/A,FALSE,"1-7";#N/A,#N/A,FALSE,"1-8";#N/A,#N/A,FALSE,"1-9"}</definedName>
    <definedName name="예산" hidden="1">{#N/A,#N/A,FALSE,"단축1";#N/A,#N/A,FALSE,"단축2";#N/A,#N/A,FALSE,"단축3";#N/A,#N/A,FALSE,"장축";#N/A,#N/A,FALSE,"4WD"}</definedName>
    <definedName name="오성협" hidden="1">{#N/A,#N/A,TRUE,"Y생산";#N/A,#N/A,TRUE,"Y판매";#N/A,#N/A,TRUE,"Y총물량";#N/A,#N/A,TRUE,"Y능력";#N/A,#N/A,TRUE,"YKD"}</definedName>
    <definedName name="오오" hidden="1">{"targetdcf",#N/A,FALSE,"Merger consequences";"TARGETASSU",#N/A,FALSE,"Merger consequences";"TERMINAL VALUE",#N/A,FALSE,"Merger consequences"}</definedName>
    <definedName name="오익환" hidden="1">{#N/A,#N/A,FALSE,"단축1";#N/A,#N/A,FALSE,"단축2";#N/A,#N/A,FALSE,"단축3";#N/A,#N/A,FALSE,"장축";#N/A,#N/A,FALSE,"4WD"}</definedName>
    <definedName name="오ㅓ라" hidden="1">{"targetdcf",#N/A,FALSE,"Merger consequences";"TARGETASSU",#N/A,FALSE,"Merger consequences";"TERMINAL VALUE",#N/A,FALSE,"Merger consequences"}</definedName>
    <definedName name="왜" hidden="1">{#N/A,#N/A,FALSE,"단축1";#N/A,#N/A,FALSE,"단축2";#N/A,#N/A,FALSE,"단축3";#N/A,#N/A,FALSE,"장축";#N/A,#N/A,FALSE,"4WD"}</definedName>
    <definedName name="왜그래" hidden="1">{#N/A,#N/A,FALSE,"단축1";#N/A,#N/A,FALSE,"단축2";#N/A,#N/A,FALSE,"단축3";#N/A,#N/A,FALSE,"장축";#N/A,#N/A,FALSE,"4WD"}</definedName>
    <definedName name="외주" hidden="1">{#N/A,#N/A,TRUE,"손익현황";#N/A,#N/A,TRUE,"재무현황";#N/A,#N/A,TRUE,"자금운용";#N/A,#N/A,TRUE,"현금흐름";#N/A,#N/A,TRUE,"판매현황";#N/A,#N/A,TRUE,"생산현황";#N/A,#N/A,TRUE,"손익분석";#N/A,#N/A,TRUE,"판매분석";#N/A,#N/A,TRUE,"생산분석";#N/A,#N/A,TRUE,"투자";#N/A,#N/A,TRUE,"기타";#N/A,#N/A,TRUE,"표지";#N/A,#N/A,TRUE,"목차"}</definedName>
    <definedName name="외주계획" hidden="1">{#N/A,#N/A,TRUE,"Y생산";#N/A,#N/A,TRUE,"Y판매";#N/A,#N/A,TRUE,"Y총물량";#N/A,#N/A,TRUE,"Y능력";#N/A,#N/A,TRUE,"YKD"}</definedName>
    <definedName name="요약" localSheetId="1" hidden="1">#REF!</definedName>
    <definedName name="요약" localSheetId="0" hidden="1">#REF!</definedName>
    <definedName name="요약" hidden="1">#REF!</definedName>
    <definedName name="용" hidden="1">{#N/A,#N/A,FALSE,"단축1";#N/A,#N/A,FALSE,"단축2";#N/A,#N/A,FALSE,"단축3";#N/A,#N/A,FALSE,"장축";#N/A,#N/A,FALSE,"4WD"}</definedName>
    <definedName name="용도차" hidden="1">{#N/A,#N/A,FALSE,"단축1";#N/A,#N/A,FALSE,"단축2";#N/A,#N/A,FALSE,"단축3";#N/A,#N/A,FALSE,"장축";#N/A,#N/A,FALSE,"4WD"}</definedName>
    <definedName name="용석" hidden="1">{#N/A,#N/A,FALSE,"단축1";#N/A,#N/A,FALSE,"단축2";#N/A,#N/A,FALSE,"단축3";#N/A,#N/A,FALSE,"장축";#N/A,#N/A,FALSE,"4WD"}</definedName>
    <definedName name="원" hidden="1">{#N/A,#N/A,FALSE,"총괄수정"}</definedName>
    <definedName name="원형강" hidden="1">{#N/A,#N/A,FALSE,"총괄수정"}</definedName>
    <definedName name="유럽" hidden="1">{#N/A,#N/A,FALSE,"단축1";#N/A,#N/A,FALSE,"단축2";#N/A,#N/A,FALSE,"단축3";#N/A,#N/A,FALSE,"장축";#N/A,#N/A,FALSE,"4WD"}</definedName>
    <definedName name="유자" hidden="1">{"'표지'!$B$5"}</definedName>
    <definedName name="유지보수항목">[5]코드표!$C$85:$C$116</definedName>
    <definedName name="의장" hidden="1">{#N/A,#N/A,FALSE,"단축1";#N/A,#N/A,FALSE,"단축2";#N/A,#N/A,FALSE,"단축3";#N/A,#N/A,FALSE,"장축";#N/A,#N/A,FALSE,"4WD"}</definedName>
    <definedName name="이근한" hidden="1">{#N/A,#N/A,FALSE,"단축1";#N/A,#N/A,FALSE,"단축2";#N/A,#N/A,FALSE,"단축3";#N/A,#N/A,FALSE,"장축";#N/A,#N/A,FALSE,"4WD"}</definedName>
    <definedName name="이름" hidden="1">{#N/A,#N/A,FALSE,"표지";#N/A,#N/A,FALSE,"1.손익현황";#N/A,#N/A,FALSE,"첨1.손익분석";#N/A,#N/A,FALSE,"2.재무재표";#N/A,#N/A,FALSE,"3.자금현황";#N/A,#N/A,FALSE,"4.생산판매"}</definedName>
    <definedName name="이명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인계" hidden="1">{#N/A,#N/A,TRUE,"Y생산";#N/A,#N/A,TRUE,"Y판매";#N/A,#N/A,TRUE,"Y총물량";#N/A,#N/A,TRUE,"Y능력";#N/A,#N/A,TRUE,"YKD"}</definedName>
    <definedName name="인당" hidden="1">{#N/A,#N/A,FALSE,"총괄수정"}</definedName>
    <definedName name="일이일" hidden="1">{#N/A,#N/A,FALSE,"현대기술상추천서(2-1)";#N/A,#N/A,FALSE,"2-2";#N/A,#N/A,FALSE,"2-3";#N/A,#N/A,FALSE,"서식2-4";#N/A,#N/A,FALSE,"(2-5)";#N/A,#N/A,FALSE,"(2-6)";#N/A,#N/A,FALSE,"(2-7)"}</definedName>
    <definedName name="일이ㅏㄹ" hidden="1">{#N/A,#N/A,FALSE,"단축1";#N/A,#N/A,FALSE,"단축2";#N/A,#N/A,FALSE,"단축3";#N/A,#N/A,FALSE,"장축";#N/A,#N/A,FALSE,"4WD"}</definedName>
    <definedName name="ㅈ" hidden="1">{#N/A,#N/A,TRUE,"Y생산";#N/A,#N/A,TRUE,"Y판매";#N/A,#N/A,TRUE,"Y총물량";#N/A,#N/A,TRUE,"Y능력";#N/A,#N/A,TRUE,"YKD"}</definedName>
    <definedName name="ㅈㄷㄳ" hidden="1">{#N/A,#N/A,FALSE,"신규dep";#N/A,#N/A,FALSE,"신규dep-금형상각후";#N/A,#N/A,FALSE,"신규dep-연구비상각후";#N/A,#N/A,FALSE,"신규dep-기계,공구상각후"}</definedName>
    <definedName name="ㅈㄷㅈ" hidden="1">{#N/A,#N/A,FALSE,"단축1";#N/A,#N/A,FALSE,"단축2";#N/A,#N/A,FALSE,"단축3";#N/A,#N/A,FALSE,"장축";#N/A,#N/A,FALSE,"4WD"}</definedName>
    <definedName name="ㅈ전뵹처아ㅓ" hidden="1">{#N/A,#N/A,FALSE,"단축1";#N/A,#N/A,FALSE,"단축2";#N/A,#N/A,FALSE,"단축3";#N/A,#N/A,FALSE,"장축";#N/A,#N/A,FALSE,"4WD"}</definedName>
    <definedName name="자잦" hidden="1">{#N/A,#N/A,FALSE,"단축1";#N/A,#N/A,FALSE,"단축2";#N/A,#N/A,FALSE,"단축3";#N/A,#N/A,FALSE,"장축";#N/A,#N/A,FALSE,"4WD"}</definedName>
    <definedName name="자재기준" hidden="1">{#N/A,#N/A,TRUE,"Y생산";#N/A,#N/A,TRUE,"Y판매";#N/A,#N/A,TRUE,"Y총물량";#N/A,#N/A,TRUE,"Y능력";#N/A,#N/A,TRUE,"YKD"}</definedName>
    <definedName name="장" hidden="1">{#N/A,#N/A,FALSE,"단축1";#N/A,#N/A,FALSE,"단축2";#N/A,#N/A,FALSE,"단축3";#N/A,#N/A,FALSE,"장축";#N/A,#N/A,FALSE,"4WD"}</definedName>
    <definedName name="장민ㄹ" hidden="1">{#N/A,#N/A,FALSE,"단축1";#N/A,#N/A,FALSE,"단축2";#N/A,#N/A,FALSE,"단축3";#N/A,#N/A,FALSE,"장축";#N/A,#N/A,FALSE,"4WD"}</definedName>
    <definedName name="저눅" hidden="1">{#N/A,#N/A,FALSE,"단축1";#N/A,#N/A,FALSE,"단축2";#N/A,#N/A,FALSE,"단축3";#N/A,#N/A,FALSE,"장축";#N/A,#N/A,FALSE,"4WD"}</definedName>
    <definedName name="전" hidden="1">{#N/A,#N/A,FALSE,"신규dep";#N/A,#N/A,FALSE,"신규dep-금형상각후";#N/A,#N/A,FALSE,"신규dep-연구비상각후";#N/A,#N/A,FALSE,"신규dep-기계,공구상각후"}</definedName>
    <definedName name="전개계획" hidden="1">{#N/A,#N/A,FALSE,"단축1";#N/A,#N/A,FALSE,"단축2";#N/A,#N/A,FALSE,"단축3";#N/A,#N/A,FALSE,"장축";#N/A,#N/A,FALSE,"4WD"}</definedName>
    <definedName name="전개방안2" hidden="1">{#N/A,#N/A,FALSE,"단축1";#N/A,#N/A,FALSE,"단축2";#N/A,#N/A,FALSE,"단축3";#N/A,#N/A,FALSE,"장축";#N/A,#N/A,FALSE,"4WD"}</definedName>
    <definedName name="전개방안3" hidden="1">{#N/A,#N/A,FALSE,"단축1";#N/A,#N/A,FALSE,"단축2";#N/A,#N/A,FALSE,"단축3";#N/A,#N/A,FALSE,"장축";#N/A,#N/A,FALSE,"4WD"}</definedName>
    <definedName name="전개방안4" hidden="1">{#N/A,#N/A,FALSE,"단축1";#N/A,#N/A,FALSE,"단축2";#N/A,#N/A,FALSE,"단축3";#N/A,#N/A,FALSE,"장축";#N/A,#N/A,FALSE,"4WD"}</definedName>
    <definedName name="전병" hidden="1">{#N/A,#N/A,FALSE,"단축1";#N/A,#N/A,FALSE,"단축2";#N/A,#N/A,FALSE,"단축3";#N/A,#N/A,FALSE,"장축";#N/A,#N/A,FALSE,"4WD"}</definedName>
    <definedName name="전사" hidden="1">{#N/A,#N/A,FALSE,"단축1";#N/A,#N/A,FALSE,"단축2";#N/A,#N/A,FALSE,"단축3";#N/A,#N/A,FALSE,"장축";#N/A,#N/A,FALSE,"4WD"}</definedName>
    <definedName name="전우기" hidden="1">{#N/A,#N/A,FALSE,"단축1";#N/A,#N/A,FALSE,"단축2";#N/A,#N/A,FALSE,"단축3";#N/A,#N/A,FALSE,"장축";#N/A,#N/A,FALSE,"4WD"}</definedName>
    <definedName name="전욱" hidden="1">{#N/A,#N/A,FALSE,"단축1";#N/A,#N/A,FALSE,"단축2";#N/A,#N/A,FALSE,"단축3";#N/A,#N/A,FALSE,"장축";#N/A,#N/A,FALSE,"4WD"}</definedName>
    <definedName name="전체종합2" hidden="1">{#N/A,#N/A,FALSE,"단축1";#N/A,#N/A,FALSE,"단축2";#N/A,#N/A,FALSE,"단축3";#N/A,#N/A,FALSE,"장축";#N/A,#N/A,FALSE,"4WD"}</definedName>
    <definedName name="전체현황" hidden="1">{#N/A,#N/A,FALSE,"단축1";#N/A,#N/A,FALSE,"단축2";#N/A,#N/A,FALSE,"단축3";#N/A,#N/A,FALSE,"장축";#N/A,#N/A,FALSE,"4WD"}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젖" hidden="1">{#N/A,#N/A,FALSE,"단축1";#N/A,#N/A,FALSE,"단축2";#N/A,#N/A,FALSE,"단축3";#N/A,#N/A,FALSE,"장축";#N/A,#N/A,FALSE,"4WD"}</definedName>
    <definedName name="제동BL" hidden="1">{#N/A,#N/A,FALSE,"단축1";#N/A,#N/A,FALSE,"단축2";#N/A,#N/A,FALSE,"단축3";#N/A,#N/A,FALSE,"장축";#N/A,#N/A,FALSE,"4WD"}</definedName>
    <definedName name="제동BL0219" hidden="1">{#N/A,#N/A,FALSE,"단축1";#N/A,#N/A,FALSE,"단축2";#N/A,#N/A,FALSE,"단축3";#N/A,#N/A,FALSE,"장축";#N/A,#N/A,FALSE,"4WD"}</definedName>
    <definedName name="제동시험현황" hidden="1">{#N/A,#N/A,FALSE,"단축1";#N/A,#N/A,FALSE,"단축2";#N/A,#N/A,FALSE,"단축3";#N/A,#N/A,FALSE,"장축";#N/A,#N/A,FALSE,"4WD"}</definedName>
    <definedName name="제원" localSheetId="1" hidden="1">#REF!</definedName>
    <definedName name="제원" localSheetId="0" hidden="1">#REF!</definedName>
    <definedName name="제원" hidden="1">#REF!</definedName>
    <definedName name="젼엋" hidden="1">{#N/A,#N/A,FALSE,"단축1";#N/A,#N/A,FALSE,"단축2";#N/A,#N/A,FALSE,"단축3";#N/A,#N/A,FALSE,"장축";#N/A,#N/A,FALSE,"4WD"}</definedName>
    <definedName name="조립" hidden="1">{#N/A,#N/A,FALSE,"단축1";#N/A,#N/A,FALSE,"단축2";#N/A,#N/A,FALSE,"단축3";#N/A,#N/A,FALSE,"장축";#N/A,#N/A,FALSE,"4WD"}</definedName>
    <definedName name="조립공수" hidden="1">{#N/A,#N/A,TRUE,"Y생산";#N/A,#N/A,TRUE,"Y판매";#N/A,#N/A,TRUE,"Y총물량";#N/A,#N/A,TRUE,"Y능력";#N/A,#N/A,TRUE,"YKD"}</definedName>
    <definedName name="조립치구" hidden="1">{#N/A,#N/A,FALSE,"단축1";#N/A,#N/A,FALSE,"단축2";#N/A,#N/A,FALSE,"단축3";#N/A,#N/A,FALSE,"장축";#N/A,#N/A,FALSE,"4WD"}</definedName>
    <definedName name="종합그래프" hidden="1">{#N/A,#N/A,FALSE,"단축1";#N/A,#N/A,FALSE,"단축2";#N/A,#N/A,FALSE,"단축3";#N/A,#N/A,FALSE,"장축";#N/A,#N/A,FALSE,"4WD"}</definedName>
    <definedName name="종합장" hidden="1">{#N/A,#N/A,FALSE,"단축1";#N/A,#N/A,FALSE,"단축2";#N/A,#N/A,FALSE,"단축3";#N/A,#N/A,FALSE,"장축";#N/A,#N/A,FALSE,"4WD"}</definedName>
    <definedName name="주요" hidden="1">{#N/A,#N/A,TRUE,"Y생산";#N/A,#N/A,TRUE,"Y판매";#N/A,#N/A,TRUE,"Y총물량";#N/A,#N/A,TRUE,"Y능력";#N/A,#N/A,TRUE,"YKD"}</definedName>
    <definedName name="주요업무2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주요제원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지태면" hidden="1">{#N/A,#N/A,TRUE,"Y생산";#N/A,#N/A,TRUE,"Y판매";#N/A,#N/A,TRUE,"Y총물량";#N/A,#N/A,TRUE,"Y능력";#N/A,#N/A,TRUE,"YKD"}</definedName>
    <definedName name="집행예산편성1" hidden="1">{#N/A,#N/A,FALSE,"단축1";#N/A,#N/A,FALSE,"단축2";#N/A,#N/A,FALSE,"단축3";#N/A,#N/A,FALSE,"장축";#N/A,#N/A,FALSE,"4WD"}</definedName>
    <definedName name="집행예산편성표" hidden="1">{#N/A,#N/A,FALSE,"단축1";#N/A,#N/A,FALSE,"단축2";#N/A,#N/A,FALSE,"단축3";#N/A,#N/A,FALSE,"장축";#N/A,#N/A,FALSE,"4WD"}</definedName>
    <definedName name="집행예산편성표2" hidden="1">{#N/A,#N/A,FALSE,"단축1";#N/A,#N/A,FALSE,"단축2";#N/A,#N/A,FALSE,"단축3";#N/A,#N/A,FALSE,"장축";#N/A,#N/A,FALSE,"4WD"}</definedName>
    <definedName name="ㅉ" hidden="1">{#N/A,#N/A,TRUE,"Y생산";#N/A,#N/A,TRUE,"Y판매";#N/A,#N/A,TRUE,"Y총물량";#N/A,#N/A,TRUE,"Y능력";#N/A,#N/A,TRUE,"YKD"}</definedName>
    <definedName name="ㅊ" hidden="1">{#N/A,#N/A,FALSE,"단축1";#N/A,#N/A,FALSE,"단축2";#N/A,#N/A,FALSE,"단축3";#N/A,#N/A,FALSE,"장축";#N/A,#N/A,FALSE,"4WD"}</definedName>
    <definedName name="ㅊㅁ" hidden="1">{#N/A,#N/A,FALSE,"단축1";#N/A,#N/A,FALSE,"단축2";#N/A,#N/A,FALSE,"단축3";#N/A,#N/A,FALSE,"장축";#N/A,#N/A,FALSE,"4WD"}</definedName>
    <definedName name="첨부둘" hidden="1">{#N/A,#N/A,FALSE,"단축1";#N/A,#N/A,FALSE,"단축2";#N/A,#N/A,FALSE,"단축3";#N/A,#N/A,FALSE,"장축";#N/A,#N/A,FALSE,"4WD"}</definedName>
    <definedName name="총" hidden="1">{#N/A,#N/A,FALSE,"단축1";#N/A,#N/A,FALSE,"단축2";#N/A,#N/A,FALSE,"단축3";#N/A,#N/A,FALSE,"장축";#N/A,#N/A,FALSE,"4WD"}</definedName>
    <definedName name="총괄MOTOR" localSheetId="1" hidden="1">#REF!</definedName>
    <definedName name="총괄MOTOR" localSheetId="0" hidden="1">#REF!</definedName>
    <definedName name="총괄MOTOR" hidden="1">#REF!</definedName>
    <definedName name="총기" hidden="1">{#N/A,#N/A,FALSE,"단축1";#N/A,#N/A,FALSE,"단축2";#N/A,#N/A,FALSE,"단축3";#N/A,#N/A,FALSE,"장축";#N/A,#N/A,FALSE,"4WD"}</definedName>
    <definedName name="총무3" hidden="1">{#N/A,#N/A,FALSE,"단축1";#N/A,#N/A,FALSE,"단축2";#N/A,#N/A,FALSE,"단축3";#N/A,#N/A,FALSE,"장축";#N/A,#N/A,FALSE,"4WD"}</definedName>
    <definedName name="총총내구" hidden="1">{#N/A,#N/A,FALSE,"단축1";#N/A,#N/A,FALSE,"단축2";#N/A,#N/A,FALSE,"단축3";#N/A,#N/A,FALSE,"장축";#N/A,#N/A,FALSE,"4WD"}</definedName>
    <definedName name="총함애" hidden="1">{#N/A,#N/A,FALSE,"단축1";#N/A,#N/A,FALSE,"단축2";#N/A,#N/A,FALSE,"단축3";#N/A,#N/A,FALSE,"장축";#N/A,#N/A,FALSE,"4WD"}</definedName>
    <definedName name="총합내구2" hidden="1">{#N/A,#N/A,FALSE,"단축1";#N/A,#N/A,FALSE,"단축2";#N/A,#N/A,FALSE,"단축3";#N/A,#N/A,FALSE,"장축";#N/A,#N/A,FALSE,"4WD"}</definedName>
    <definedName name="총합내구3" hidden="1">{#N/A,#N/A,FALSE,"단축1";#N/A,#N/A,FALSE,"단축2";#N/A,#N/A,FALSE,"단축3";#N/A,#N/A,FALSE,"장축";#N/A,#N/A,FALSE,"4WD"}</definedName>
    <definedName name="총합문제점" hidden="1">{#N/A,#N/A,FALSE,"단축1";#N/A,#N/A,FALSE,"단축2";#N/A,#N/A,FALSE,"단축3";#N/A,#N/A,FALSE,"장축";#N/A,#N/A,FALSE,"4WD"}</definedName>
    <definedName name="추" hidden="1">{#N/A,#N/A,FALSE,"단축1";#N/A,#N/A,FALSE,"단축2";#N/A,#N/A,FALSE,"단축3";#N/A,#N/A,FALSE,"장축";#N/A,#N/A,FALSE,"4WD"}</definedName>
    <definedName name="추진과제" hidden="1">{#N/A,#N/A,FALSE,"단축1";#N/A,#N/A,FALSE,"단축2";#N/A,#N/A,FALSE,"단축3";#N/A,#N/A,FALSE,"장축";#N/A,#N/A,FALSE,"4WD"}</definedName>
    <definedName name="취소" hidden="1">{#N/A,#N/A,TRUE,"손익현황";#N/A,#N/A,TRUE,"재무현황";#N/A,#N/A,TRUE,"자금운용";#N/A,#N/A,TRUE,"현금흐름";#N/A,#N/A,TRUE,"판매현황";#N/A,#N/A,TRUE,"생산현황";#N/A,#N/A,TRUE,"손익분석";#N/A,#N/A,TRUE,"판매분석";#N/A,#N/A,TRUE,"생산분석";#N/A,#N/A,TRUE,"투자";#N/A,#N/A,TRUE,"기타";#N/A,#N/A,TRUE,"표지";#N/A,#N/A,TRUE,"목차"}</definedName>
    <definedName name="ㅋㅋㅋㅋ" hidden="1">{"AQUIRORDCF",#N/A,FALSE,"Merger consequences";"Acquirorassns",#N/A,FALSE,"Merger consequences"}</definedName>
    <definedName name="ㅋㅌ" hidden="1">{#N/A,#N/A,FALSE,"단축1";#N/A,#N/A,FALSE,"단축2";#N/A,#N/A,FALSE,"단축3";#N/A,#N/A,FALSE,"장축";#N/A,#N/A,FALSE,"4WD"}</definedName>
    <definedName name="ㅋㅌㅋㅌㅊㅌㅊㅋ" hidden="1">{"qchm_dcf",#N/A,FALSE,"QCHMDCF2";"qchm_terminal",#N/A,FALSE,"QCHMDCF2"}</definedName>
    <definedName name="ㅋㅌㅌㅌㅌㅌㅌㅌㅌㅌㅌㅌㅌㅌㅌㅌ" hidden="1">{"Acq_matrix",#N/A,FALSE,"Acquisition Matrix"}</definedName>
    <definedName name="카니발연료누유" localSheetId="1" hidden="1">[4]CAUDIT!#REF!</definedName>
    <definedName name="카니발연료누유" localSheetId="0" hidden="1">[4]CAUDIT!#REF!</definedName>
    <definedName name="카니발연료누유" hidden="1">[4]CAUDIT!#REF!</definedName>
    <definedName name="ㅌㅋㅌ" hidden="1">{"AQUIRORDCF",#N/A,FALSE,"Merger consequences";"Acquirorassns",#N/A,FALSE,"Merger consequences"}</definedName>
    <definedName name="ㅌㅌㅌㅌ" hidden="1">{"qchm_dcf",#N/A,FALSE,"QCHMDCF2";"qchm_terminal",#N/A,FALSE,"QCHMDCF2"}</definedName>
    <definedName name="ㅌㅌㅌㅌㅌㅌ" hidden="1">{"targetdcf",#N/A,FALSE,"Merger consequences";"TARGETASSU",#N/A,FALSE,"Merger consequences";"TERMINAL VALUE",#N/A,FALSE,"Merger consequences"}</definedName>
    <definedName name="탕강" hidden="1">{#N/A,#N/A,FALSE,"단축1";#N/A,#N/A,FALSE,"단축2";#N/A,#N/A,FALSE,"단축3";#N/A,#N/A,FALSE,"장축";#N/A,#N/A,FALSE,"4WD"}</definedName>
    <definedName name="테스트" hidden="1">{#N/A,#N/A,FALSE,"현대기술상추천서(2-1)";#N/A,#N/A,FALSE,"2-2";#N/A,#N/A,FALSE,"2-3";#N/A,#N/A,FALSE,"서식2-4";#N/A,#N/A,FALSE,"(2-5)";#N/A,#N/A,FALSE,"(2-6)";#N/A,#N/A,FALSE,"(2-7)"}</definedName>
    <definedName name="통보용" hidden="1">{#N/A,#N/A,FALSE,"총괄수정"}</definedName>
    <definedName name="통보현황" hidden="1">{#N/A,#N/A,FALSE,"총괄수정"}</definedName>
    <definedName name="통합제어" hidden="1">{#N/A,#N/A,FALSE,"1.참가신청";#N/A,#N/A,FALSE,"2.개발성과";#N/A,#N/A,FALSE,"3.활용현황";#N/A,#N/A,FALSE,"4.상호명";#N/A,#N/A,FALSE,"5.포상신청";#N/A,#N/A,FALSE,"산업재산권";#N/A,#N/A,FALSE,"산출내역";#N/A,#N/A,FALSE,"인적사항"}</definedName>
    <definedName name="투자" localSheetId="1" hidden="1">#REF!</definedName>
    <definedName name="투자" localSheetId="0" hidden="1">#REF!</definedName>
    <definedName name="투자" hidden="1">#REF!</definedName>
    <definedName name="투자금액1" hidden="1">{#N/A,#N/A,FALSE,"단축1";#N/A,#N/A,FALSE,"단축2";#N/A,#N/A,FALSE,"단축3";#N/A,#N/A,FALSE,"장축";#N/A,#N/A,FALSE,"4WD"}</definedName>
    <definedName name="투자비000" hidden="1">{#N/A,#N/A,FALSE,"단축1";#N/A,#N/A,FALSE,"단축2";#N/A,#N/A,FALSE,"단축3";#N/A,#N/A,FALSE,"장축";#N/A,#N/A,FALSE,"4WD"}</definedName>
    <definedName name="투자비복" hidden="1">{#N/A,#N/A,FALSE,"단축1";#N/A,#N/A,FALSE,"단축2";#N/A,#N/A,FALSE,"단축3";#N/A,#N/A,FALSE,"장축";#N/A,#N/A,FALSE,"4WD"}</definedName>
    <definedName name="투자비실적" hidden="1">{#N/A,#N/A,FALSE,"단축1";#N/A,#N/A,FALSE,"단축2";#N/A,#N/A,FALSE,"단축3";#N/A,#N/A,FALSE,"장축";#N/A,#N/A,FALSE,"4WD"}</definedName>
    <definedName name="투자사항" hidden="1">{#N/A,#N/A,FALSE,"총괄수정"}</definedName>
    <definedName name="튜닝" hidden="1">{#N/A,#N/A,FALSE,"단축1";#N/A,#N/A,FALSE,"단축2";#N/A,#N/A,FALSE,"단축3";#N/A,#N/A,FALSE,"장축";#N/A,#N/A,FALSE,"4WD"}</definedName>
    <definedName name="튜닝리스트" hidden="1">{#N/A,#N/A,FALSE,"단축1";#N/A,#N/A,FALSE,"단축2";#N/A,#N/A,FALSE,"단축3";#N/A,#N/A,FALSE,"장축";#N/A,#N/A,FALSE,"4WD"}</definedName>
    <definedName name="튜닝리스트1" hidden="1">{#N/A,#N/A,FALSE,"단축1";#N/A,#N/A,FALSE,"단축2";#N/A,#N/A,FALSE,"단축3";#N/A,#N/A,FALSE,"장축";#N/A,#N/A,FALSE,"4WD"}</definedName>
    <definedName name="튜닝리스트2" hidden="1">{#N/A,#N/A,FALSE,"단축1";#N/A,#N/A,FALSE,"단축2";#N/A,#N/A,FALSE,"단축3";#N/A,#N/A,FALSE,"장축";#N/A,#N/A,FALSE,"4WD"}</definedName>
    <definedName name="ㅍ" hidden="1">{#N/A,#N/A,FALSE,"단축1";#N/A,#N/A,FALSE,"단축2";#N/A,#N/A,FALSE,"단축3";#N/A,#N/A,FALSE,"장축";#N/A,#N/A,FALSE,"4WD"}</definedName>
    <definedName name="ㅍㅍ" hidden="1">{#N/A,#N/A,FALSE,"단축1";#N/A,#N/A,FALSE,"단축2";#N/A,#N/A,FALSE,"단축3";#N/A,#N/A,FALSE,"장축";#N/A,#N/A,FALSE,"4WD"}</definedName>
    <definedName name="판매목표2" hidden="1">{#N/A,#N/A,FALSE,"단축1";#N/A,#N/A,FALSE,"단축2";#N/A,#N/A,FALSE,"단축3";#N/A,#N/A,FALSE,"장축";#N/A,#N/A,FALSE,"4WD"}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팽" hidden="1">{#N/A,#N/A,FALSE,"단축1";#N/A,#N/A,FALSE,"단축2";#N/A,#N/A,FALSE,"단축3";#N/A,#N/A,FALSE,"장축";#N/A,#N/A,FALSE,"4WD"}</definedName>
    <definedName name="펜더안" hidden="1">{#N/A,#N/A,FALSE,"단축1";#N/A,#N/A,FALSE,"단축2";#N/A,#N/A,FALSE,"단축3";#N/A,#N/A,FALSE,"장축";#N/A,#N/A,FALSE,"4WD"}</definedName>
    <definedName name="평가" hidden="1">{#N/A,#N/A,FALSE,"단축1";#N/A,#N/A,FALSE,"단축2";#N/A,#N/A,FALSE,"단축3";#N/A,#N/A,FALSE,"장축";#N/A,#N/A,FALSE,"4WD"}</definedName>
    <definedName name="폴" hidden="1">{#N/A,#N/A,FALSE,"단축1";#N/A,#N/A,FALSE,"단축2";#N/A,#N/A,FALSE,"단축3";#N/A,#N/A,FALSE,"장축";#N/A,#N/A,FALSE,"4WD"}</definedName>
    <definedName name="표지_PTN" hidden="1">{#N/A,#N/A,TRUE,"Y생산";#N/A,#N/A,TRUE,"Y판매";#N/A,#N/A,TRUE,"Y총물량";#N/A,#N/A,TRUE,"Y능력";#N/A,#N/A,TRUE,"YKD"}</definedName>
    <definedName name="품명">[5]코드표!$C$2:$C$82</definedName>
    <definedName name="품질생산합격" hidden="1">{#N/A,#N/A,TRUE,"Y생산";#N/A,#N/A,TRUE,"Y판매";#N/A,#N/A,TRUE,"Y총물량";#N/A,#N/A,TRUE,"Y능력";#N/A,#N/A,TRUE,"YKD"}</definedName>
    <definedName name="프레스" hidden="1">{#N/A,#N/A,FALSE,"단축1";#N/A,#N/A,FALSE,"단축2";#N/A,#N/A,FALSE,"단축3";#N/A,#N/A,FALSE,"장축";#N/A,#N/A,FALSE,"4WD"}</definedName>
    <definedName name="필택" hidden="1">{#N/A,#N/A,FALSE,"단축1";#N/A,#N/A,FALSE,"단축2";#N/A,#N/A,FALSE,"단축3";#N/A,#N/A,FALSE,"장축";#N/A,#N/A,FALSE,"4WD"}</definedName>
    <definedName name="ㅎ" hidden="1">{#N/A,#N/A,FALSE,"단축1";#N/A,#N/A,FALSE,"단축2";#N/A,#N/A,FALSE,"단축3";#N/A,#N/A,FALSE,"장축";#N/A,#N/A,FALSE,"4WD"}</definedName>
    <definedName name="ㅎ교" hidden="1">{#N/A,#N/A,FALSE,"1.참가신청";#N/A,#N/A,FALSE,"2.개발성과";#N/A,#N/A,FALSE,"3.활용현황";#N/A,#N/A,FALSE,"4.상호명";#N/A,#N/A,FALSE,"5.포상신청";#N/A,#N/A,FALSE,"산업재산권";#N/A,#N/A,FALSE,"산출내역";#N/A,#N/A,FALSE,"인적사항"}</definedName>
    <definedName name="ㅎ라" hidden="1">{#N/A,#N/A,TRUE,"Y생산";#N/A,#N/A,TRUE,"Y판매";#N/A,#N/A,TRUE,"Y총물량";#N/A,#N/A,TRUE,"Y능력";#N/A,#N/A,TRUE,"YKD"}</definedName>
    <definedName name="ㅎㅎㄶㄹㅇ" hidden="1">{"Acq_matrix",#N/A,FALSE,"Acquisition Matrix"}</definedName>
    <definedName name="ㅎㅎㅎㅎ" hidden="1">{#N/A,#N/A,FALSE,"단축1";#N/A,#N/A,FALSE,"단축2";#N/A,#N/A,FALSE,"단축3";#N/A,#N/A,FALSE,"장축";#N/A,#N/A,FALSE,"4WD"}</definedName>
    <definedName name="한" hidden="1">{#N/A,#N/A,FALSE,"단축1";#N/A,#N/A,FALSE,"단축2";#N/A,#N/A,FALSE,"단축3";#N/A,#N/A,FALSE,"장축";#N/A,#N/A,FALSE,"4WD"}</definedName>
    <definedName name="한영사전" hidden="1">{#N/A,#N/A,TRUE,"Y생산";#N/A,#N/A,TRUE,"Y판매";#N/A,#N/A,TRUE,"Y총물량";#N/A,#N/A,TRUE,"Y능력";#N/A,#N/A,TRUE,"YKD"}</definedName>
    <definedName name="한영수" hidden="1">{#N/A,#N/A,FALSE,"총괄수정"}</definedName>
    <definedName name="할" hidden="1">{#N/A,#N/A,FALSE,"단축1";#N/A,#N/A,FALSE,"단축2";#N/A,#N/A,FALSE,"단축3";#N/A,#N/A,FALSE,"장축";#N/A,#N/A,FALSE,"4WD"}</definedName>
    <definedName name="항항" hidden="1">{#N/A,#N/A,FALSE,"단축1";#N/A,#N/A,FALSE,"단축2";#N/A,#N/A,FALSE,"단축3";#N/A,#N/A,FALSE,"장축";#N/A,#N/A,FALSE,"4WD"}</definedName>
    <definedName name="해ㅐㅇ" hidden="1">{#N/A,#N/A,FALSE,"단축1";#N/A,#N/A,FALSE,"단축2";#N/A,#N/A,FALSE,"단축3";#N/A,#N/A,FALSE,"장축";#N/A,#N/A,FALSE,"4WD"}</definedName>
    <definedName name="햔" hidden="1">{#N/A,#N/A,FALSE,"단축1";#N/A,#N/A,FALSE,"단축2";#N/A,#N/A,FALSE,"단축3";#N/A,#N/A,FALSE,"장축";#N/A,#N/A,FALSE,"4WD"}</definedName>
    <definedName name="향후계획1" hidden="1">{#N/A,#N/A,FALSE,"단축1";#N/A,#N/A,FALSE,"단축2";#N/A,#N/A,FALSE,"단축3";#N/A,#N/A,FALSE,"장축";#N/A,#N/A,FALSE,"4WD"}</definedName>
    <definedName name="현황표2" hidden="1">{#N/A,#N/A,FALSE,"단축1";#N/A,#N/A,FALSE,"단축2";#N/A,#N/A,FALSE,"단축3";#N/A,#N/A,FALSE,"장축";#N/A,#N/A,FALSE,"4WD"}</definedName>
    <definedName name="호" hidden="1">{"qchm_dcf",#N/A,FALSE,"QCHMDCF2";"qchm_terminal",#N/A,FALSE,"QCHMDCF2"}</definedName>
    <definedName name="호ㅓㅏ" hidden="1">{#N/A,#N/A,FALSE,"96 3월물량표";#N/A,#N/A,FALSE,"96 4월물량표";#N/A,#N/A,FALSE,"96 5월물량표"}</definedName>
    <definedName name="홍기" hidden="1">{"qchm_dcf",#N/A,FALSE,"QCHMDCF2";"qchm_terminal",#N/A,FALSE,"QCHMDCF2"}</definedName>
    <definedName name="후" hidden="1">{#N/A,#N/A,FALSE,"단축1";#N/A,#N/A,FALSE,"단축2";#N/A,#N/A,FALSE,"단축3";#N/A,#N/A,FALSE,"장축";#N/A,#N/A,FALSE,"4WD"}</definedName>
    <definedName name="ㅏ" hidden="1">{#N/A,#N/A,FALSE,"단축1";#N/A,#N/A,FALSE,"단축2";#N/A,#N/A,FALSE,"단축3";#N/A,#N/A,FALSE,"장축";#N/A,#N/A,FALSE,"4WD"}</definedName>
    <definedName name="ㅏㅏㅏ" hidden="1">{#N/A,#N/A,TRUE,"손익현황";#N/A,#N/A,TRUE,"재무현황";#N/A,#N/A,TRUE,"자금운용";#N/A,#N/A,TRUE,"현금흐름";#N/A,#N/A,TRUE,"판매현황";#N/A,#N/A,TRUE,"생산현황";#N/A,#N/A,TRUE,"손익분석";#N/A,#N/A,TRUE,"판매분석";#N/A,#N/A,TRUE,"생산분석";#N/A,#N/A,TRUE,"투자";#N/A,#N/A,TRUE,"기타";#N/A,#N/A,TRUE,"표지";#N/A,#N/A,TRUE,"목차"}</definedName>
    <definedName name="ㅏㅓㅏ" localSheetId="1" hidden="1">#REF!</definedName>
    <definedName name="ㅏㅓㅏ" localSheetId="0" hidden="1">#REF!</definedName>
    <definedName name="ㅏㅓㅏ" hidden="1">#REF!</definedName>
    <definedName name="ㅐㅐㅐㅐㅐㅐ" hidden="1">{#N/A,#N/A,FALSE,"단축1";#N/A,#N/A,FALSE,"단축2";#N/A,#N/A,FALSE,"단축3";#N/A,#N/A,FALSE,"장축";#N/A,#N/A,FALSE,"4WD"}</definedName>
    <definedName name="ㅐㅔㅣ987" hidden="1">{#N/A,#N/A,FALSE,"단축1";#N/A,#N/A,FALSE,"단축2";#N/A,#N/A,FALSE,"단축3";#N/A,#N/A,FALSE,"장축";#N/A,#N/A,FALSE,"4WD"}</definedName>
    <definedName name="ㅑ" hidden="1">{#N/A,#N/A,FALSE,"단축1";#N/A,#N/A,FALSE,"단축2";#N/A,#N/A,FALSE,"단축3";#N/A,#N/A,FALSE,"장축";#N/A,#N/A,FALSE,"4WD"}</definedName>
    <definedName name="ㅓ" hidden="1">{#N/A,#N/A,TRUE,"Y생산";#N/A,#N/A,TRUE,"Y판매";#N/A,#N/A,TRUE,"Y총물량";#N/A,#N/A,TRUE,"Y능력";#N/A,#N/A,TRUE,"YKD"}</definedName>
    <definedName name="ㅓㅓㅓㅓㅓ" hidden="1">{#N/A,#N/A,FALSE,"단축1";#N/A,#N/A,FALSE,"단축2";#N/A,#N/A,FALSE,"단축3";#N/A,#N/A,FALSE,"장축";#N/A,#N/A,FALSE,"4WD"}</definedName>
    <definedName name="ㅔ" hidden="1">{#N/A,#N/A,FALSE,"단축1";#N/A,#N/A,FALSE,"단축2";#N/A,#N/A,FALSE,"단축3";#N/A,#N/A,FALSE,"장축";#N/A,#N/A,FALSE,"4WD"}</definedName>
    <definedName name="ㅕㅎ놀한ㅁㅇ" localSheetId="1" hidden="1">'[1]#REF'!#REF!</definedName>
    <definedName name="ㅕㅎ놀한ㅁㅇ" localSheetId="0" hidden="1">'[1]#REF'!#REF!</definedName>
    <definedName name="ㅕㅎ놀한ㅁㅇ" hidden="1">'[1]#REF'!#REF!</definedName>
    <definedName name="ㅕㅣㅎ" hidden="1">{#N/A,#N/A,FALSE,"단축1";#N/A,#N/A,FALSE,"단축2";#N/A,#N/A,FALSE,"단축3";#N/A,#N/A,FALSE,"장축";#N/A,#N/A,FALSE,"4WD"}</definedName>
    <definedName name="ㅗ12" hidden="1">{#N/A,#N/A,FALSE,"단축1";#N/A,#N/A,FALSE,"단축2";#N/A,#N/A,FALSE,"단축3";#N/A,#N/A,FALSE,"장축";#N/A,#N/A,FALSE,"4WD"}</definedName>
    <definedName name="ㅗㄴㅇ퓨ㅑ" hidden="1">{#N/A,#N/A,FALSE,"단축1";#N/A,#N/A,FALSE,"단축2";#N/A,#N/A,FALSE,"단축3";#N/A,#N/A,FALSE,"장축";#N/A,#N/A,FALSE,"4WD"}</definedName>
    <definedName name="ㅗ뇨" hidden="1">{#N/A,#N/A,FALSE,"단축1";#N/A,#N/A,FALSE,"단축2";#N/A,#N/A,FALSE,"단축3";#N/A,#N/A,FALSE,"장축";#N/A,#N/A,FALSE,"4WD"}</definedName>
    <definedName name="ㅗㅎ" hidden="1">{#N/A,#N/A,TRUE,"Y생산";#N/A,#N/A,TRUE,"Y판매";#N/A,#N/A,TRUE,"Y총물량";#N/A,#N/A,TRUE,"Y능력";#N/A,#N/A,TRUE,"YKD"}</definedName>
    <definedName name="ㅗ허ㅓㅗ" hidden="1">{#N/A,#N/A,FALSE,"단축1";#N/A,#N/A,FALSE,"단축2";#N/A,#N/A,FALSE,"단축3";#N/A,#N/A,FALSE,"장축";#N/A,#N/A,FALSE,"4WD"}</definedName>
    <definedName name="ㅗㅓ올\" hidden="1">{#N/A,#N/A,FALSE,"단축1";#N/A,#N/A,FALSE,"단축2";#N/A,#N/A,FALSE,"단축3";#N/A,#N/A,FALSE,"장축";#N/A,#N/A,FALSE,"4WD"}</definedName>
    <definedName name="ㅗㅓㅏ" localSheetId="1" hidden="1">#REF!</definedName>
    <definedName name="ㅗㅓㅏ" localSheetId="0" hidden="1">#REF!</definedName>
    <definedName name="ㅗㅓㅏ" hidden="1">#REF!</definedName>
    <definedName name="ㅗㅗ" hidden="1">{#N/A,#N/A,FALSE,"단축1";#N/A,#N/A,FALSE,"단축2";#N/A,#N/A,FALSE,"단축3";#N/A,#N/A,FALSE,"장축";#N/A,#N/A,FALSE,"4WD"}</definedName>
    <definedName name="ㅗㅗㅗ" hidden="1">{"targetdcf",#N/A,FALSE,"Merger consequences";"TARGETASSU",#N/A,FALSE,"Merger consequences";"TERMINAL VALUE",#N/A,FALSE,"Merger consequences"}</definedName>
    <definedName name="ㅛ" hidden="1">{#N/A,#N/A,FALSE,"단축1";#N/A,#N/A,FALSE,"단축2";#N/A,#N/A,FALSE,"단축3";#N/A,#N/A,FALSE,"장축";#N/A,#N/A,FALSE,"4WD"}</definedName>
    <definedName name="ㅛㅅ" hidden="1">{#N/A,#N/A,TRUE,"Y생산";#N/A,#N/A,TRUE,"Y판매";#N/A,#N/A,TRUE,"Y총물량";#N/A,#N/A,TRUE,"Y능력";#N/A,#N/A,TRUE,"YKD"}</definedName>
    <definedName name="ㅛㅛㅕㅗㅓ" hidden="1">{#N/A,#N/A,FALSE,"단축1";#N/A,#N/A,FALSE,"단축2";#N/A,#N/A,FALSE,"단축3";#N/A,#N/A,FALSE,"장축";#N/A,#N/A,FALSE,"4WD"}</definedName>
    <definedName name="ㅜ" hidden="1">{#N/A,#N/A,FALSE,"단축1";#N/A,#N/A,FALSE,"단축2";#N/A,#N/A,FALSE,"단축3";#N/A,#N/A,FALSE,"장축";#N/A,#N/A,FALSE,"4WD"}</definedName>
    <definedName name="ㅠ" hidden="1">{#N/A,#N/A,FALSE,"단축1";#N/A,#N/A,FALSE,"단축2";#N/A,#N/A,FALSE,"단축3";#N/A,#N/A,FALSE,"장축";#N/A,#N/A,FALSE,"4WD"}</definedName>
    <definedName name="ㅠㄹ" hidden="1">{#N/A,#N/A,FALSE,"단축1";#N/A,#N/A,FALSE,"단축2";#N/A,#N/A,FALSE,"단축3";#N/A,#N/A,FALSE,"장축";#N/A,#N/A,FALSE,"4WD"}</definedName>
    <definedName name="ㅣ" hidden="1">{#N/A,#N/A,FALSE,"단축1";#N/A,#N/A,FALSE,"단축2";#N/A,#N/A,FALSE,"단축3";#N/A,#N/A,FALSE,"장축";#N/A,#N/A,FALSE,"4WD"}</definedName>
    <definedName name="ㅣㅏㅏㅐ" hidden="1">{#N/A,#N/A,FALSE,"유첨5-1";#N/A,#N/A,FALSE,"5-2";#N/A,#N/A,FALSE,"5-3";#N/A,#N/A,FALSE,"5-4";#N/A,#N/A,FALSE,"5-5";#N/A,#N/A,FALSE,"5-6";#N/A,#N/A,FALSE,"5-7";#N/A,#N/A,FALSE,"5-8"}</definedName>
    <definedName name="ㅣㅑㅓㅔ" localSheetId="1" hidden="1">#REF!</definedName>
    <definedName name="ㅣㅑㅓㅔ" localSheetId="0" hidden="1">#REF!</definedName>
    <definedName name="ㅣㅑㅓㅔ" hidden="1">#REF!</definedName>
    <definedName name="ㅣㅣ" hidden="1">{#N/A,#N/A,FALSE,"단축1";#N/A,#N/A,FALSE,"단축2";#N/A,#N/A,FALSE,"단축3";#N/A,#N/A,FALSE,"장축";#N/A,#N/A,FALSE,"4WD"}</definedName>
  </definedNames>
  <calcPr calcId="162913"/>
  <customWorkbookViews>
    <customWorkbookView name="이민주A - 사용자 보기" guid="{4E2CC52B-9774-403A-A0C8-E785ABC2CA12}" mergeInterval="0" personalView="1" maximized="1" xWindow="-8" yWindow="-8" windowWidth="2576" windowHeight="1416" activeSheetId="6"/>
    <customWorkbookView name="이기영 - 사용자 보기" guid="{150F3AAD-159F-4D51-8A32-03C1F6A979E2}" mergeInterval="0" personalView="1" maximized="1" xWindow="-8" yWindow="-8" windowWidth="1552" windowHeight="840" activeSheetId="6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4" i="73" l="1"/>
  <c r="S34" i="73" s="1"/>
  <c r="O42" i="73" l="1"/>
  <c r="S42" i="73" s="1"/>
  <c r="O43" i="73"/>
  <c r="S43" i="73" s="1"/>
  <c r="M55" i="73" l="1"/>
  <c r="H39" i="73" l="1"/>
  <c r="J49" i="73" s="1"/>
  <c r="G44" i="73"/>
  <c r="O44" i="73" s="1"/>
  <c r="V18" i="65"/>
  <c r="N44" i="73"/>
  <c r="C33" i="73"/>
  <c r="G33" i="73" s="1"/>
  <c r="O33" i="73" s="1"/>
  <c r="G32" i="73"/>
  <c r="G46" i="73" l="1"/>
  <c r="O46" i="73" s="1"/>
  <c r="J46" i="73"/>
  <c r="G50" i="73"/>
  <c r="O50" i="73" s="1"/>
  <c r="J50" i="73"/>
  <c r="J47" i="73"/>
  <c r="J48" i="73"/>
  <c r="G45" i="73"/>
  <c r="G49" i="73"/>
  <c r="O49" i="73" s="1"/>
  <c r="G47" i="73"/>
  <c r="O47" i="73" s="1"/>
  <c r="G48" i="73"/>
  <c r="O48" i="73" s="1"/>
  <c r="J45" i="73"/>
  <c r="J31" i="73"/>
  <c r="G31" i="73"/>
  <c r="O31" i="73" s="1"/>
  <c r="O37" i="73" l="1"/>
  <c r="S44" i="73"/>
  <c r="O45" i="73"/>
  <c r="S45" i="73" s="1"/>
  <c r="O41" i="73"/>
  <c r="S41" i="73" s="1"/>
  <c r="J33" i="73"/>
  <c r="O32" i="73"/>
  <c r="S32" i="73" s="1"/>
  <c r="O26" i="73"/>
  <c r="S26" i="73" s="1"/>
  <c r="O25" i="73"/>
  <c r="S25" i="73" s="1"/>
  <c r="O24" i="73"/>
  <c r="S24" i="73" s="1"/>
  <c r="O23" i="73"/>
  <c r="S23" i="73" s="1"/>
  <c r="O22" i="73"/>
  <c r="S22" i="73" s="1"/>
  <c r="O21" i="73"/>
  <c r="S21" i="73" s="1"/>
  <c r="O55" i="73" l="1"/>
  <c r="S31" i="73"/>
  <c r="S33" i="73"/>
  <c r="S27" i="73"/>
  <c r="O27" i="73"/>
  <c r="O54" i="73" s="1"/>
  <c r="S54" i="73" s="1"/>
  <c r="S37" i="73" l="1"/>
  <c r="U13" i="73"/>
  <c r="U12" i="73"/>
  <c r="G9" i="73"/>
  <c r="G10" i="73" s="1"/>
  <c r="S50" i="73" l="1"/>
  <c r="S48" i="73"/>
  <c r="S49" i="73"/>
  <c r="S47" i="73"/>
  <c r="O51" i="73" l="1"/>
  <c r="S46" i="73"/>
  <c r="S51" i="73" s="1"/>
  <c r="S55" i="73" s="1"/>
  <c r="R16" i="73" s="1"/>
  <c r="R17" i="73" s="1"/>
  <c r="U13" i="65" l="1"/>
  <c r="U12" i="65"/>
  <c r="R21" i="65" l="1"/>
  <c r="R20" i="65"/>
  <c r="R19" i="65"/>
  <c r="R18" i="65"/>
  <c r="R35" i="65"/>
  <c r="R34" i="65"/>
  <c r="G9" i="65"/>
  <c r="G10" i="65" s="1"/>
  <c r="R28" i="65" l="1"/>
  <c r="R36" i="65"/>
</calcChain>
</file>

<file path=xl/sharedStrings.xml><?xml version="1.0" encoding="utf-8"?>
<sst xmlns="http://schemas.openxmlformats.org/spreadsheetml/2006/main" count="395" uniqueCount="275">
  <si>
    <t>010-6231-7391</t>
  </si>
  <si>
    <t>010-5222-7620</t>
  </si>
  <si>
    <t>010-4480-1116</t>
  </si>
  <si>
    <t>010-9269-2383</t>
  </si>
  <si>
    <t>010-4900-2859</t>
  </si>
  <si>
    <t>010-7220-9600</t>
  </si>
  <si>
    <t>전자결재</t>
    <phoneticPr fontId="3" type="noConversion"/>
  </si>
  <si>
    <t>근태관리</t>
    <phoneticPr fontId="3" type="noConversion"/>
  </si>
  <si>
    <t>Smart A 10 사용료</t>
    <phoneticPr fontId="3" type="noConversion"/>
  </si>
  <si>
    <t>구분</t>
    <phoneticPr fontId="3" type="noConversion"/>
  </si>
  <si>
    <t>㈜더존비즈온</t>
    <phoneticPr fontId="3" type="noConversion"/>
  </si>
  <si>
    <t>견적일로부터 7일</t>
    <phoneticPr fontId="3" type="noConversion"/>
  </si>
  <si>
    <t>하기 비고사항 참고</t>
    <phoneticPr fontId="3" type="noConversion"/>
  </si>
  <si>
    <t>134-81-08473</t>
    <phoneticPr fontId="3" type="noConversion"/>
  </si>
  <si>
    <t>견적 안내</t>
    <phoneticPr fontId="3" type="noConversion"/>
  </si>
  <si>
    <t>고
객
사</t>
    <phoneticPr fontId="3" type="noConversion"/>
  </si>
  <si>
    <t>김용우</t>
    <phoneticPr fontId="3" type="noConversion"/>
  </si>
  <si>
    <t>아래와 같이 견적합니다.</t>
    <phoneticPr fontId="3" type="noConversion"/>
  </si>
  <si>
    <t>강원도 춘천시 남산면 버들1길 130</t>
    <phoneticPr fontId="3" type="noConversion"/>
  </si>
  <si>
    <t>단위: 원 / 부가세 별도</t>
    <phoneticPr fontId="3" type="noConversion"/>
  </si>
  <si>
    <t>ONE AI</t>
    <phoneticPr fontId="3" type="noConversion"/>
  </si>
  <si>
    <t>담당자</t>
    <phoneticPr fontId="3" type="noConversion"/>
  </si>
  <si>
    <t>연락처</t>
    <phoneticPr fontId="3" type="noConversion"/>
  </si>
  <si>
    <t>이메일</t>
    <phoneticPr fontId="3" type="noConversion"/>
  </si>
  <si>
    <t>유닛</t>
    <phoneticPr fontId="3" type="noConversion"/>
  </si>
  <si>
    <t xml:space="preserve">김두현 과장 </t>
  </si>
  <si>
    <t xml:space="preserve">김한주 과장 </t>
  </si>
  <si>
    <t xml:space="preserve">신영준 대리 </t>
    <phoneticPr fontId="3" type="noConversion"/>
  </si>
  <si>
    <t>010-8233-6659</t>
  </si>
  <si>
    <t>010-6327-1175</t>
  </si>
  <si>
    <t>010-2646-9042</t>
  </si>
  <si>
    <t>010-9439-6519</t>
  </si>
  <si>
    <t>010-9091-7839</t>
  </si>
  <si>
    <t xml:space="preserve">국중호 부장 </t>
    <phoneticPr fontId="3" type="noConversion"/>
  </si>
  <si>
    <t xml:space="preserve">유 현 차장 </t>
    <phoneticPr fontId="3" type="noConversion"/>
  </si>
  <si>
    <t xml:space="preserve">양승일 대리 </t>
    <phoneticPr fontId="3" type="noConversion"/>
  </si>
  <si>
    <t xml:space="preserve">이영진 대리 </t>
    <phoneticPr fontId="3" type="noConversion"/>
  </si>
  <si>
    <t>010-4903-2311</t>
  </si>
  <si>
    <t>010-7735-8951</t>
  </si>
  <si>
    <t>010-3586-2880</t>
  </si>
  <si>
    <t>010-7572-9830</t>
  </si>
  <si>
    <t xml:space="preserve">송동현 담당자 </t>
  </si>
  <si>
    <t xml:space="preserve">선우문주 담당자 </t>
  </si>
  <si>
    <t xml:space="preserve">김새영 담당자 </t>
  </si>
  <si>
    <t xml:space="preserve">김민규 담당자 </t>
  </si>
  <si>
    <t xml:space="preserve">이명진 담당자 </t>
  </si>
  <si>
    <t xml:space="preserve">김지원 담당자 </t>
  </si>
  <si>
    <t xml:space="preserve">천현정 담당자 </t>
  </si>
  <si>
    <t>khanj@douzone.com</t>
  </si>
  <si>
    <t>91dhkim@douzone.com</t>
  </si>
  <si>
    <t>0joon@douzone.com</t>
  </si>
  <si>
    <t>songdh14@douzone.com</t>
  </si>
  <si>
    <t>sunwoo21@douzone.com</t>
  </si>
  <si>
    <t>ksy1204@douzone.com</t>
  </si>
  <si>
    <t>dkie97@douzone.com</t>
  </si>
  <si>
    <t>jirisan6@douzone.com</t>
  </si>
  <si>
    <t>fbgus20@douzone.com</t>
  </si>
  <si>
    <t>choon4283@douzone.com</t>
  </si>
  <si>
    <t>epapwlsussla@douzone.com</t>
  </si>
  <si>
    <t>nofr2311@douzone.com</t>
  </si>
  <si>
    <t>audwin123@douzone.com</t>
  </si>
  <si>
    <t>kjw2882@douzone.com</t>
  </si>
  <si>
    <t>chj9808@douzone.com</t>
  </si>
  <si>
    <t>==========</t>
    <phoneticPr fontId="3" type="noConversion"/>
  </si>
  <si>
    <t xml:space="preserve">정세희 담당자 </t>
    <phoneticPr fontId="3" type="noConversion"/>
  </si>
  <si>
    <t>010-8800-4063</t>
    <phoneticPr fontId="3" type="noConversion"/>
  </si>
  <si>
    <t>sehee02@douzone.com</t>
    <phoneticPr fontId="3" type="noConversion"/>
  </si>
  <si>
    <t>법인조정</t>
    <phoneticPr fontId="3" type="noConversion"/>
  </si>
  <si>
    <t>개인조정</t>
    <phoneticPr fontId="3" type="noConversion"/>
  </si>
  <si>
    <t>회계관리</t>
    <phoneticPr fontId="3" type="noConversion"/>
  </si>
  <si>
    <t>WEHAGO 표준금액견적서</t>
    <phoneticPr fontId="3" type="noConversion"/>
  </si>
  <si>
    <t>(귀중)</t>
    <phoneticPr fontId="3" type="noConversion"/>
  </si>
  <si>
    <t>협의 후 결정</t>
    <phoneticPr fontId="3" type="noConversion"/>
  </si>
  <si>
    <t>인사급여</t>
    <phoneticPr fontId="3" type="noConversion"/>
  </si>
  <si>
    <t>물류관리</t>
    <phoneticPr fontId="3" type="noConversion"/>
  </si>
  <si>
    <t>Smart A 2.0</t>
    <phoneticPr fontId="3" type="noConversion"/>
  </si>
  <si>
    <t>단가</t>
    <phoneticPr fontId="3" type="noConversion"/>
  </si>
  <si>
    <t>수량</t>
    <phoneticPr fontId="3" type="noConversion"/>
  </si>
  <si>
    <t>단위</t>
    <phoneticPr fontId="3" type="noConversion"/>
  </si>
  <si>
    <t>제안금액</t>
    <phoneticPr fontId="3" type="noConversion"/>
  </si>
  <si>
    <t>비고</t>
    <phoneticPr fontId="3" type="noConversion"/>
  </si>
  <si>
    <t>D/C</t>
    <phoneticPr fontId="3" type="noConversion"/>
  </si>
  <si>
    <t>표준금액</t>
    <phoneticPr fontId="3" type="noConversion"/>
  </si>
  <si>
    <t>식</t>
    <phoneticPr fontId="3" type="noConversion"/>
  </si>
  <si>
    <t>유저</t>
    <phoneticPr fontId="3" type="noConversion"/>
  </si>
  <si>
    <t>경비청구(개인카드)</t>
    <phoneticPr fontId="3" type="noConversion"/>
  </si>
  <si>
    <t>CRM</t>
    <phoneticPr fontId="3" type="noConversion"/>
  </si>
  <si>
    <t>PMS</t>
    <phoneticPr fontId="3" type="noConversion"/>
  </si>
  <si>
    <t>EA</t>
    <phoneticPr fontId="3" type="noConversion"/>
  </si>
  <si>
    <t>CLUB 요금제</t>
    <phoneticPr fontId="3" type="noConversion"/>
  </si>
  <si>
    <t>PRO 요금제</t>
    <phoneticPr fontId="3" type="noConversion"/>
  </si>
  <si>
    <t>경비청구(법인카드)</t>
    <phoneticPr fontId="3" type="noConversion"/>
  </si>
  <si>
    <t>개월</t>
    <phoneticPr fontId="3" type="noConversion"/>
  </si>
  <si>
    <t>라이선스</t>
    <phoneticPr fontId="3" type="noConversion"/>
  </si>
  <si>
    <t>사용료</t>
    <phoneticPr fontId="3" type="noConversion"/>
  </si>
  <si>
    <t>일회납</t>
    <phoneticPr fontId="3" type="noConversion"/>
  </si>
  <si>
    <t>표준제안금액</t>
    <phoneticPr fontId="3" type="noConversion"/>
  </si>
  <si>
    <t>최종제안금액</t>
    <phoneticPr fontId="3" type="noConversion"/>
  </si>
  <si>
    <t>연납</t>
    <phoneticPr fontId="3" type="noConversion"/>
  </si>
  <si>
    <t>주식회사 더존비즈온 귀중</t>
    <phoneticPr fontId="3" type="noConversion"/>
  </si>
  <si>
    <t>◀ 담당자명 드롭다운</t>
    <phoneticPr fontId="3" type="noConversion"/>
  </si>
  <si>
    <t>◀ 월납/연납 드롭다운</t>
    <phoneticPr fontId="3" type="noConversion"/>
  </si>
  <si>
    <t>◀ 요금제 드롭다운</t>
    <phoneticPr fontId="3" type="noConversion"/>
  </si>
  <si>
    <t>◀ 사용료 드롭다운</t>
    <phoneticPr fontId="3" type="noConversion"/>
  </si>
  <si>
    <t>서비스명</t>
    <phoneticPr fontId="3" type="noConversion"/>
  </si>
  <si>
    <t>NAHAGO</t>
    <phoneticPr fontId="3" type="noConversion"/>
  </si>
  <si>
    <t>T-Edge</t>
    <phoneticPr fontId="3" type="noConversion"/>
  </si>
  <si>
    <t>정상금액</t>
    <phoneticPr fontId="3" type="noConversion"/>
  </si>
  <si>
    <t>웹스토리지</t>
    <phoneticPr fontId="3" type="noConversion"/>
  </si>
  <si>
    <t>지불조건</t>
    <phoneticPr fontId="3" type="noConversion"/>
  </si>
  <si>
    <t>유저</t>
    <phoneticPr fontId="3" type="noConversion"/>
  </si>
  <si>
    <t>무제한</t>
    <phoneticPr fontId="3" type="noConversion"/>
  </si>
  <si>
    <t>무제한</t>
    <phoneticPr fontId="3" type="noConversion"/>
  </si>
  <si>
    <t>식</t>
    <phoneticPr fontId="3" type="noConversion"/>
  </si>
  <si>
    <t>회사명</t>
    <phoneticPr fontId="3" type="noConversion"/>
  </si>
  <si>
    <t>대표자명</t>
    <phoneticPr fontId="3" type="noConversion"/>
  </si>
  <si>
    <t>사업자등록번호</t>
    <phoneticPr fontId="3" type="noConversion"/>
  </si>
  <si>
    <t>사업장주소</t>
    <phoneticPr fontId="3" type="noConversion"/>
  </si>
  <si>
    <t>담당자 휴대폰번호</t>
    <phoneticPr fontId="3" type="noConversion"/>
  </si>
  <si>
    <t>서비스 청약 내용에 문제가 없으며 이용 약관을 확인하였습니다.</t>
    <phoneticPr fontId="3" type="noConversion"/>
  </si>
  <si>
    <t>일</t>
    <phoneticPr fontId="3" type="noConversion"/>
  </si>
  <si>
    <t>월</t>
    <phoneticPr fontId="3" type="noConversion"/>
  </si>
  <si>
    <t>년</t>
    <phoneticPr fontId="3" type="noConversion"/>
  </si>
  <si>
    <t>:</t>
    <phoneticPr fontId="3" type="noConversion"/>
  </si>
  <si>
    <t>대표자</t>
    <phoneticPr fontId="3" type="noConversion"/>
  </si>
  <si>
    <t>(인)</t>
    <phoneticPr fontId="3" type="noConversion"/>
  </si>
  <si>
    <t>2. 추가 금액 안내</t>
    <phoneticPr fontId="3" type="noConversion"/>
  </si>
  <si>
    <t>연납</t>
    <phoneticPr fontId="3" type="noConversion"/>
  </si>
  <si>
    <t>사용유저</t>
    <phoneticPr fontId="3" type="noConversion"/>
  </si>
  <si>
    <t>WEHAGO 추가 금액 합계</t>
    <phoneticPr fontId="3" type="noConversion"/>
  </si>
  <si>
    <t>* 하기 항목 모두 필수 입력 사항입니다.</t>
    <phoneticPr fontId="3" type="noConversion"/>
  </si>
  <si>
    <t>WEHAGO T</t>
    <phoneticPr fontId="3" type="noConversion"/>
  </si>
  <si>
    <t>1. WEHAGO T 금액 안내</t>
    <phoneticPr fontId="3" type="noConversion"/>
  </si>
  <si>
    <t>추가
제공
서비스</t>
    <phoneticPr fontId="3" type="noConversion"/>
  </si>
  <si>
    <t>WEHAGO
T</t>
    <phoneticPr fontId="3" type="noConversion"/>
  </si>
  <si>
    <t>유지보수료</t>
    <phoneticPr fontId="3" type="noConversion"/>
  </si>
  <si>
    <t>클라우드 이용료</t>
    <phoneticPr fontId="3" type="noConversion"/>
  </si>
  <si>
    <t>타임머신(선택)</t>
    <phoneticPr fontId="3" type="noConversion"/>
  </si>
  <si>
    <t>TB</t>
    <phoneticPr fontId="3" type="noConversion"/>
  </si>
  <si>
    <t>유저</t>
    <phoneticPr fontId="3" type="noConversion"/>
  </si>
  <si>
    <t>수임처관리, 웹오피스, 메신저, 메일
문자, 일정관리, 명함관리
조직도, 내PC원격접속, 할일관리
노트, 화상회의, 거래처관리</t>
    <phoneticPr fontId="3" type="noConversion"/>
  </si>
  <si>
    <t>WEHAGO T 제안 금액</t>
    <phoneticPr fontId="3" type="noConversion"/>
  </si>
  <si>
    <t>※ 위 금액은 WEHAGO T 가입비 및 1년간 서비스 사용료입니다. 1년 후 재계약 금액은 별도 계약에 따릅니다.</t>
    <phoneticPr fontId="3" type="noConversion"/>
  </si>
  <si>
    <t>월납</t>
    <phoneticPr fontId="3" type="noConversion"/>
  </si>
  <si>
    <t>ONE AI</t>
    <phoneticPr fontId="3" type="noConversion"/>
  </si>
  <si>
    <t>무상</t>
    <phoneticPr fontId="3" type="noConversion"/>
  </si>
  <si>
    <t>WEHAGO T 유저 추가</t>
    <phoneticPr fontId="3" type="noConversion"/>
  </si>
  <si>
    <t>일회납</t>
    <phoneticPr fontId="3" type="noConversion"/>
  </si>
  <si>
    <t>구성</t>
    <phoneticPr fontId="3" type="noConversion"/>
  </si>
  <si>
    <t>기본료</t>
    <phoneticPr fontId="3" type="noConversion"/>
  </si>
  <si>
    <t>증가액</t>
    <phoneticPr fontId="3" type="noConversion"/>
  </si>
  <si>
    <t>무상제공</t>
    <phoneticPr fontId="3" type="noConversion"/>
  </si>
  <si>
    <t>Smart A 10 회계관리</t>
    <phoneticPr fontId="26" type="noConversion"/>
  </si>
  <si>
    <t>Smart A 10 급여관리</t>
    <phoneticPr fontId="26" type="noConversion"/>
  </si>
  <si>
    <t>Smart A 10 물류관리</t>
    <phoneticPr fontId="26" type="noConversion"/>
  </si>
  <si>
    <t>Smart A 10 법인조정</t>
    <phoneticPr fontId="3" type="noConversion"/>
  </si>
  <si>
    <t>Smart A 10 개인조정</t>
    <phoneticPr fontId="3" type="noConversion"/>
  </si>
  <si>
    <t>SDB (필수 D/B)</t>
    <phoneticPr fontId="3" type="noConversion"/>
  </si>
  <si>
    <t>자동회계처리, 부가세신고, 재무제표작성 등</t>
  </si>
  <si>
    <t>USER</t>
  </si>
  <si>
    <t>유저 추가 시 1USER 당 400,000원</t>
  </si>
  <si>
    <t>급여관리, 원천징수, 연말정산, 4대보험신고 등</t>
  </si>
  <si>
    <t>유저 추가 시 1USER 당 200,000원</t>
    <phoneticPr fontId="3" type="noConversion"/>
  </si>
  <si>
    <t>재고입출고 및 재고자산명세서</t>
  </si>
  <si>
    <t>유저 추가 시 1USER 당 300,000원</t>
    <phoneticPr fontId="3" type="noConversion"/>
  </si>
  <si>
    <t>법인세 신고서식 제공 및 법인결산</t>
  </si>
  <si>
    <t>유저 추가 시 1USER 당 200,000원</t>
  </si>
  <si>
    <t>종합소득세 신고서식 제공 및 개인결산</t>
    <phoneticPr fontId="3" type="noConversion"/>
  </si>
  <si>
    <t>설치형 Smart A 프로그램(2018년 이전 데이터 보관용)</t>
    <phoneticPr fontId="3" type="noConversion"/>
  </si>
  <si>
    <t>그룹웨어 유저 추가</t>
    <phoneticPr fontId="3" type="noConversion"/>
  </si>
  <si>
    <t>USER</t>
    <phoneticPr fontId="3" type="noConversion"/>
  </si>
  <si>
    <t>1유저 추가당 연 100,000원</t>
    <phoneticPr fontId="3" type="noConversion"/>
  </si>
  <si>
    <t>경비청구 (개인카드)</t>
    <phoneticPr fontId="3" type="noConversion"/>
  </si>
  <si>
    <t>개인카드 사용내역 수집을 통한 경비 청구</t>
    <phoneticPr fontId="3" type="noConversion"/>
  </si>
  <si>
    <t>1유저당 월 2,000원</t>
    <phoneticPr fontId="3" type="noConversion"/>
  </si>
  <si>
    <t>경비청구 (법인카드)</t>
    <phoneticPr fontId="3" type="noConversion"/>
  </si>
  <si>
    <t>법인카드 사용내역 수집을 통한 경비 청구</t>
    <phoneticPr fontId="3" type="noConversion"/>
  </si>
  <si>
    <t>EA</t>
    <phoneticPr fontId="3" type="noConversion"/>
  </si>
  <si>
    <t>카드 1개당 월 2,000원</t>
    <phoneticPr fontId="3" type="noConversion"/>
  </si>
  <si>
    <t>전자결재</t>
    <phoneticPr fontId="3" type="noConversion"/>
  </si>
  <si>
    <t>실시간 의사결정을 지원하는 전자결재</t>
  </si>
  <si>
    <t>근태관리</t>
    <phoneticPr fontId="3" type="noConversion"/>
  </si>
  <si>
    <t>근무기록 및 연월차의 체계적인 관리</t>
    <phoneticPr fontId="3" type="noConversion"/>
  </si>
  <si>
    <t>CRM</t>
    <phoneticPr fontId="3" type="noConversion"/>
  </si>
  <si>
    <t>고객 정보 관리 및 영업 이슈 공유</t>
    <phoneticPr fontId="3" type="noConversion"/>
  </si>
  <si>
    <t>USER</t>
    <phoneticPr fontId="3" type="noConversion"/>
  </si>
  <si>
    <t>PMS</t>
    <phoneticPr fontId="3" type="noConversion"/>
  </si>
  <si>
    <t>프로젝트 과제정보 공유 및 관리</t>
    <phoneticPr fontId="3" type="noConversion"/>
  </si>
  <si>
    <t>ONE AI</t>
    <phoneticPr fontId="3" type="noConversion"/>
  </si>
  <si>
    <t>우리 회사만의 맞춤 AI 비서</t>
    <phoneticPr fontId="3" type="noConversion"/>
  </si>
  <si>
    <t>개월</t>
    <phoneticPr fontId="3" type="noConversion"/>
  </si>
  <si>
    <t>1년 약정 필수</t>
    <phoneticPr fontId="3" type="noConversion"/>
  </si>
  <si>
    <t>할일관리</t>
    <phoneticPr fontId="3" type="noConversion"/>
  </si>
  <si>
    <t>업무 관리, 할일 관리 서비스</t>
    <phoneticPr fontId="3" type="noConversion"/>
  </si>
  <si>
    <t>회사도메인</t>
    <phoneticPr fontId="3" type="noConversion"/>
  </si>
  <si>
    <t>연납</t>
    <phoneticPr fontId="3" type="noConversion"/>
  </si>
  <si>
    <t>10분독서</t>
    <phoneticPr fontId="3" type="noConversion"/>
  </si>
  <si>
    <t>제
안
사</t>
    <phoneticPr fontId="3" type="noConversion"/>
  </si>
  <si>
    <t>ONE AI</t>
    <phoneticPr fontId="3" type="noConversion"/>
  </si>
  <si>
    <t>㈜더존비즈온</t>
    <phoneticPr fontId="3" type="noConversion"/>
  </si>
  <si>
    <t>김용우</t>
    <phoneticPr fontId="3" type="noConversion"/>
  </si>
  <si>
    <t>개월</t>
    <phoneticPr fontId="3" type="noConversion"/>
  </si>
  <si>
    <t>유지보수 금액</t>
    <phoneticPr fontId="3" type="noConversion"/>
  </si>
  <si>
    <t>수신</t>
    <phoneticPr fontId="3" type="noConversion"/>
  </si>
  <si>
    <t>견적명</t>
    <phoneticPr fontId="3" type="noConversion"/>
  </si>
  <si>
    <t>견적일자</t>
    <phoneticPr fontId="3" type="noConversion"/>
  </si>
  <si>
    <t>견적번호</t>
    <phoneticPr fontId="3" type="noConversion"/>
  </si>
  <si>
    <t>견적 유효일자</t>
    <phoneticPr fontId="3" type="noConversion"/>
  </si>
  <si>
    <t>납품기일</t>
    <phoneticPr fontId="3" type="noConversion"/>
  </si>
  <si>
    <t>지불조건</t>
    <phoneticPr fontId="3" type="noConversion"/>
  </si>
  <si>
    <t>상호명</t>
    <phoneticPr fontId="3" type="noConversion"/>
  </si>
  <si>
    <t>사업장 소재지</t>
    <phoneticPr fontId="3" type="noConversion"/>
  </si>
  <si>
    <t>영업 담당자</t>
    <phoneticPr fontId="3" type="noConversion"/>
  </si>
  <si>
    <t>연락처</t>
    <phoneticPr fontId="3" type="noConversion"/>
  </si>
  <si>
    <t>이메일</t>
    <phoneticPr fontId="3" type="noConversion"/>
  </si>
  <si>
    <t>VAT 포함</t>
    <phoneticPr fontId="3" type="noConversion"/>
  </si>
  <si>
    <t>VAT 미포함</t>
    <phoneticPr fontId="3" type="noConversion"/>
  </si>
  <si>
    <t>■ 제공되는 견적서는 구매 전 참고용으로, 실제 가입 시 선택한 요금으로 결제되며, 결제 후 14일이내 전자세금계산서가 자동 발행됩니다.
■ 계약사항은 회원가입/서비스 구매 시 제공되는 서비스 이용 동의 내용을 참고 바랍니다.
■ 이용약관: https://www.wehago.com/#/common/policy</t>
    <phoneticPr fontId="3" type="noConversion"/>
  </si>
  <si>
    <t>WEHAGO 신규 도입 견적서</t>
    <phoneticPr fontId="3" type="noConversion"/>
  </si>
  <si>
    <t>추가 1식</t>
    <phoneticPr fontId="3" type="noConversion"/>
  </si>
  <si>
    <t>최초 1식</t>
    <phoneticPr fontId="3" type="noConversion"/>
  </si>
  <si>
    <t>① 라이선스 합계</t>
    <phoneticPr fontId="3" type="noConversion"/>
  </si>
  <si>
    <t>최초 1유저</t>
    <phoneticPr fontId="3" type="noConversion"/>
  </si>
  <si>
    <t>추가 1유저</t>
    <phoneticPr fontId="3" type="noConversion"/>
  </si>
  <si>
    <t>② 사용료(유지보수비) 합계</t>
    <phoneticPr fontId="3" type="noConversion"/>
  </si>
  <si>
    <t>EA</t>
    <phoneticPr fontId="3" type="noConversion"/>
  </si>
  <si>
    <t>□ 카드</t>
    <phoneticPr fontId="3" type="noConversion"/>
  </si>
  <si>
    <t>□ 가상계좌</t>
    <phoneticPr fontId="3" type="noConversion"/>
  </si>
  <si>
    <t>③ 그룹웨어 부가서비스 합계</t>
    <phoneticPr fontId="3" type="noConversion"/>
  </si>
  <si>
    <t>사업자번호</t>
    <phoneticPr fontId="3" type="noConversion"/>
  </si>
  <si>
    <t>2. WEHAGO 사용료</t>
    <phoneticPr fontId="3" type="noConversion"/>
  </si>
  <si>
    <t>3. 그룹웨어 부가서비스</t>
    <phoneticPr fontId="3" type="noConversion"/>
  </si>
  <si>
    <t>- 용량별</t>
    <phoneticPr fontId="3" type="noConversion"/>
  </si>
  <si>
    <t>- 카드당</t>
    <phoneticPr fontId="3" type="noConversion"/>
  </si>
  <si>
    <t>1. Smart A 10 라이선스</t>
    <phoneticPr fontId="3" type="noConversion"/>
  </si>
  <si>
    <t>(일회납)</t>
    <phoneticPr fontId="3" type="noConversion"/>
  </si>
  <si>
    <t>WEHAGO 제안금액
(부가세 별도)</t>
    <phoneticPr fontId="3" type="noConversion"/>
  </si>
  <si>
    <t>WEHAGO 최초 도입 금액 (①+②+③)</t>
    <phoneticPr fontId="3" type="noConversion"/>
  </si>
  <si>
    <t>추가 1식</t>
    <phoneticPr fontId="3" type="noConversion"/>
  </si>
  <si>
    <t>회사 저장공간 증설</t>
    <phoneticPr fontId="3" type="noConversion"/>
  </si>
  <si>
    <t>- 백업/복구 서비스</t>
    <phoneticPr fontId="3" type="noConversion"/>
  </si>
  <si>
    <t>WEHAGO T 가격제안서</t>
    <phoneticPr fontId="3" type="noConversion"/>
  </si>
  <si>
    <t>- 5유저 무상 제공</t>
    <phoneticPr fontId="3" type="noConversion"/>
  </si>
  <si>
    <t>- Chat GPT를 통한 데이터 분석</t>
    <phoneticPr fontId="3" type="noConversion"/>
  </si>
  <si>
    <t>◀ L18 단가 드롭다운</t>
    <phoneticPr fontId="3" type="noConversion"/>
  </si>
  <si>
    <t>결제수단</t>
    <phoneticPr fontId="3" type="noConversion"/>
  </si>
  <si>
    <t>담당자 WEHAGO 아이디</t>
    <phoneticPr fontId="3" type="noConversion"/>
  </si>
  <si>
    <t>전자세금계산서
담당자명</t>
    <phoneticPr fontId="3" type="noConversion"/>
  </si>
  <si>
    <t>▶ WEHAGO 도입 청약서</t>
    <phoneticPr fontId="3" type="noConversion"/>
  </si>
  <si>
    <t>WEHAGO 사용 시작일자</t>
    <phoneticPr fontId="3" type="noConversion"/>
  </si>
  <si>
    <t>결제(입금) 예정일자</t>
    <phoneticPr fontId="3" type="noConversion"/>
  </si>
  <si>
    <t>◀ M41 용량 드롭다운</t>
    <phoneticPr fontId="3" type="noConversion"/>
  </si>
  <si>
    <t>담당자 이메일주소</t>
    <phoneticPr fontId="3" type="noConversion"/>
  </si>
  <si>
    <t>이상훈 차장</t>
    <phoneticPr fontId="3" type="noConversion"/>
  </si>
  <si>
    <t>□ CMS</t>
    <phoneticPr fontId="3" type="noConversion"/>
  </si>
  <si>
    <t>유저</t>
    <phoneticPr fontId="3" type="noConversion"/>
  </si>
  <si>
    <t>주식회사 더존비즈온 귀중</t>
    <phoneticPr fontId="3" type="noConversion"/>
  </si>
  <si>
    <t>법정의무교육(4종)</t>
    <phoneticPr fontId="3" type="noConversion"/>
  </si>
  <si>
    <t>법정의무교육(5종)</t>
    <phoneticPr fontId="3" type="noConversion"/>
  </si>
  <si>
    <t>유저</t>
    <phoneticPr fontId="3" type="noConversion"/>
  </si>
  <si>
    <t>- 어플을 통한 교육 및 수료증 발급 가능</t>
    <phoneticPr fontId="3" type="noConversion"/>
  </si>
  <si>
    <t>- 발생 교육비 회계처리 가능</t>
    <phoneticPr fontId="3" type="noConversion"/>
  </si>
  <si>
    <t>- Chat GPT 4o 버전을 통한 데이터분석</t>
    <phoneticPr fontId="3" type="noConversion"/>
  </si>
  <si>
    <t>- 4대보험가입자수+1대 가능</t>
    <phoneticPr fontId="3" type="noConversion"/>
  </si>
  <si>
    <t xml:space="preserve">이영진 대리 </t>
  </si>
  <si>
    <t>Smart A 설치형 필요시</t>
    <phoneticPr fontId="3" type="noConversion"/>
  </si>
  <si>
    <t xml:space="preserve">저장공간 500GB 제공 / CLUB 기능 포함, 화상회의(무제한) </t>
    <phoneticPr fontId="3" type="noConversion"/>
  </si>
  <si>
    <t>CLUB 요금제</t>
  </si>
  <si>
    <t>저장공간 100GB 제공 / 메신저, 화상회의(120분), 메일, 전자세금계산서 제공</t>
    <phoneticPr fontId="3" type="noConversion"/>
  </si>
  <si>
    <t>CLUB 사용료 (유상)</t>
    <phoneticPr fontId="3" type="noConversion"/>
  </si>
  <si>
    <t>- 기본 수수료
 Smart A 10 도입 기준 할인제공</t>
    <phoneticPr fontId="3" type="noConversion"/>
  </si>
  <si>
    <t xml:space="preserve"> - 도입 이후 별도 결제예정</t>
    <phoneticPr fontId="3" type="noConversion"/>
  </si>
  <si>
    <t xml:space="preserve"> 1유저 추가 당</t>
    <phoneticPr fontId="3" type="noConversion"/>
  </si>
  <si>
    <t>(월납)</t>
  </si>
  <si>
    <t>케이비펀드파트너스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</si>
</sst>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1" formatCode="_-* #,##0_-;\-* #,##0_-;_-* &quot;-&quot;_-;_-@_-"/>
    <numFmt numFmtId="176" formatCode="#,##0_ "/>
    <numFmt numFmtId="177" formatCode="yyyy&quot;년&quot;\ m&quot;월&quot;\ d&quot;일&quot;;@"/>
    <numFmt numFmtId="178" formatCode="&quot;Douzone-&quot;yymmdd&quot;-V01&quot;"/>
  </numFmts>
  <fonts count="36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[더존] 본문체 30"/>
      <family val="3"/>
      <charset val="129"/>
    </font>
    <font>
      <sz val="8"/>
      <name val="맑은 고딕"/>
      <family val="2"/>
      <charset val="129"/>
      <scheme val="minor"/>
    </font>
    <font>
      <sz val="7"/>
      <color theme="1"/>
      <name val="[더존] 본문체 30"/>
      <family val="3"/>
      <charset val="129"/>
    </font>
    <font>
      <sz val="6"/>
      <color theme="1"/>
      <name val="[더존] 본문체 30"/>
      <family val="3"/>
      <charset val="129"/>
    </font>
    <font>
      <sz val="11"/>
      <name val="돋움"/>
      <family val="3"/>
      <charset val="129"/>
    </font>
    <font>
      <sz val="10"/>
      <color theme="1"/>
      <name val="[더존] 제목체 50"/>
      <family val="3"/>
      <charset val="129"/>
    </font>
    <font>
      <sz val="10"/>
      <name val="Arial"/>
      <family val="2"/>
    </font>
    <font>
      <sz val="15"/>
      <color theme="1"/>
      <name val="[더존] 제목체 50"/>
      <family val="3"/>
      <charset val="129"/>
    </font>
    <font>
      <sz val="7"/>
      <name val="[더존] 본문체 30"/>
      <family val="3"/>
      <charset val="129"/>
    </font>
    <font>
      <sz val="8"/>
      <color theme="1"/>
      <name val="[더존] 제목체 50"/>
      <family val="3"/>
      <charset val="129"/>
    </font>
    <font>
      <sz val="8"/>
      <color rgb="FFFF0000"/>
      <name val="[더존] 제목체 50"/>
      <family val="3"/>
      <charset val="129"/>
    </font>
    <font>
      <sz val="5"/>
      <color theme="1"/>
      <name val="[더존] 본문체 30"/>
      <family val="3"/>
      <charset val="129"/>
    </font>
    <font>
      <sz val="8"/>
      <color theme="0"/>
      <name val="[더존] 본문체 30"/>
      <family val="3"/>
      <charset val="129"/>
    </font>
    <font>
      <sz val="6"/>
      <name val="[더존] 본문체 30"/>
      <family val="3"/>
      <charset val="129"/>
    </font>
    <font>
      <sz val="7"/>
      <color theme="0" tint="-0.249977111117893"/>
      <name val="[더존] 본문체 30"/>
      <family val="3"/>
      <charset val="129"/>
    </font>
    <font>
      <sz val="5"/>
      <name val="[더존] 본문체 30"/>
      <family val="3"/>
      <charset val="129"/>
    </font>
    <font>
      <sz val="10"/>
      <color theme="1"/>
      <name val="[더존] 본문체 50"/>
      <family val="3"/>
      <charset val="129"/>
    </font>
    <font>
      <sz val="10"/>
      <color theme="0"/>
      <name val="[더존] 본문체 50"/>
      <family val="3"/>
      <charset val="129"/>
    </font>
    <font>
      <sz val="9"/>
      <color theme="0"/>
      <name val="[더존] 본문체 50"/>
      <family val="3"/>
      <charset val="129"/>
    </font>
    <font>
      <sz val="8"/>
      <color theme="1"/>
      <name val="[더존] 본문체 50"/>
      <family val="3"/>
      <charset val="129"/>
    </font>
    <font>
      <sz val="7"/>
      <color theme="0"/>
      <name val="[더존] 본문체 50"/>
      <family val="3"/>
      <charset val="129"/>
    </font>
    <font>
      <sz val="11"/>
      <color theme="0"/>
      <name val="[더존] 본문체 50"/>
      <family val="3"/>
      <charset val="129"/>
    </font>
    <font>
      <sz val="11"/>
      <color theme="1"/>
      <name val="[더존] 본문체 50"/>
      <family val="3"/>
      <charset val="129"/>
    </font>
    <font>
      <sz val="5"/>
      <color rgb="FFFF0000"/>
      <name val="[더존] 본문체 30"/>
      <family val="3"/>
      <charset val="129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8"/>
      <color theme="0"/>
      <name val="[더존] 본문체 50"/>
      <family val="3"/>
      <charset val="129"/>
    </font>
    <font>
      <sz val="12"/>
      <color theme="0"/>
      <name val="[더존] 본문체 50"/>
      <family val="3"/>
      <charset val="129"/>
    </font>
    <font>
      <b/>
      <sz val="7"/>
      <color theme="1"/>
      <name val="[더존] 본문체 30"/>
      <family val="3"/>
      <charset val="129"/>
    </font>
    <font>
      <b/>
      <sz val="7"/>
      <color theme="0" tint="-0.249977111117893"/>
      <name val="[더존] 본문체 30"/>
      <family val="3"/>
      <charset val="129"/>
    </font>
    <font>
      <b/>
      <sz val="7"/>
      <name val="[더존] 본문체 30"/>
      <family val="3"/>
      <charset val="129"/>
    </font>
    <font>
      <b/>
      <sz val="6"/>
      <name val="[더존] 본문체 30"/>
      <family val="3"/>
      <charset val="129"/>
    </font>
    <font>
      <b/>
      <sz val="6"/>
      <color theme="1"/>
      <name val="[더존] 본문체 30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</fills>
  <borders count="48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indexed="64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theme="0"/>
      </left>
      <right/>
      <top style="thin">
        <color auto="1"/>
      </top>
      <bottom style="hair">
        <color theme="0"/>
      </bottom>
      <diagonal/>
    </border>
    <border>
      <left/>
      <right/>
      <top style="thin">
        <color auto="1"/>
      </top>
      <bottom style="hair">
        <color theme="0"/>
      </bottom>
      <diagonal/>
    </border>
    <border>
      <left/>
      <right style="thin">
        <color auto="1"/>
      </right>
      <top style="thin">
        <color auto="1"/>
      </top>
      <bottom style="hair">
        <color theme="0"/>
      </bottom>
      <diagonal/>
    </border>
    <border>
      <left style="hair">
        <color theme="0"/>
      </left>
      <right/>
      <top style="hair">
        <color theme="0"/>
      </top>
      <bottom style="thin">
        <color auto="1"/>
      </bottom>
      <diagonal/>
    </border>
    <border>
      <left/>
      <right/>
      <top style="hair">
        <color theme="0"/>
      </top>
      <bottom style="thin">
        <color auto="1"/>
      </bottom>
      <diagonal/>
    </border>
    <border>
      <left/>
      <right style="thin">
        <color auto="1"/>
      </right>
      <top style="hair">
        <color theme="0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</borders>
  <cellStyleXfs count="7">
    <xf numFmtId="0" fontId="0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8" fillId="0" borderId="0"/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</cellStyleXfs>
  <cellXfs count="219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7" fillId="0" borderId="0" xfId="0" applyFont="1">
      <alignment vertical="center"/>
    </xf>
    <xf numFmtId="0" fontId="9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13" fillId="0" borderId="0" xfId="0" applyFont="1" applyAlignment="1">
      <alignment horizontal="right" vertical="center"/>
    </xf>
    <xf numFmtId="0" fontId="11" fillId="0" borderId="0" xfId="0" applyFont="1">
      <alignment vertical="center"/>
    </xf>
    <xf numFmtId="0" fontId="14" fillId="0" borderId="0" xfId="0" applyFont="1">
      <alignment vertical="center"/>
    </xf>
    <xf numFmtId="0" fontId="14" fillId="0" borderId="0" xfId="0" applyFont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9" fontId="15" fillId="0" borderId="7" xfId="0" applyNumberFormat="1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18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41" fontId="21" fillId="4" borderId="11" xfId="0" applyNumberFormat="1" applyFont="1" applyFill="1" applyBorder="1">
      <alignment vertical="center"/>
    </xf>
    <xf numFmtId="0" fontId="4" fillId="0" borderId="0" xfId="0" applyFont="1" applyAlignment="1">
      <alignment horizontal="center" vertical="center" wrapText="1"/>
    </xf>
    <xf numFmtId="0" fontId="15" fillId="0" borderId="7" xfId="0" quotePrefix="1" applyFont="1" applyBorder="1" applyAlignment="1">
      <alignment horizontal="center" vertical="center"/>
    </xf>
    <xf numFmtId="0" fontId="13" fillId="0" borderId="0" xfId="0" applyFont="1">
      <alignment vertical="center"/>
    </xf>
    <xf numFmtId="0" fontId="10" fillId="0" borderId="0" xfId="0" applyFont="1" applyAlignment="1">
      <alignment horizontal="center" vertical="center"/>
    </xf>
    <xf numFmtId="41" fontId="16" fillId="0" borderId="0" xfId="0" applyNumberFormat="1" applyFont="1" applyAlignment="1">
      <alignment horizontal="center" vertical="center"/>
    </xf>
    <xf numFmtId="41" fontId="10" fillId="0" borderId="0" xfId="0" applyNumberFormat="1" applyFont="1" applyAlignment="1">
      <alignment horizontal="center" vertical="center"/>
    </xf>
    <xf numFmtId="41" fontId="4" fillId="0" borderId="0" xfId="0" quotePrefix="1" applyNumberFormat="1" applyFont="1" applyAlignment="1">
      <alignment horizontal="left" vertical="center"/>
    </xf>
    <xf numFmtId="41" fontId="4" fillId="0" borderId="0" xfId="0" applyNumberFormat="1" applyFont="1" applyAlignment="1">
      <alignment horizontal="left" vertical="center"/>
    </xf>
    <xf numFmtId="0" fontId="25" fillId="0" borderId="0" xfId="0" applyFont="1" applyAlignment="1">
      <alignment horizontal="right" vertical="center"/>
    </xf>
    <xf numFmtId="0" fontId="27" fillId="0" borderId="0" xfId="0" applyFont="1">
      <alignment vertical="center"/>
    </xf>
    <xf numFmtId="0" fontId="27" fillId="2" borderId="3" xfId="0" applyFont="1" applyFill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176" fontId="28" fillId="0" borderId="3" xfId="1" applyNumberFormat="1" applyFont="1" applyBorder="1" applyAlignment="1">
      <alignment horizontal="center" vertical="center" wrapText="1"/>
    </xf>
    <xf numFmtId="0" fontId="27" fillId="0" borderId="3" xfId="0" applyFont="1" applyBorder="1" applyAlignment="1">
      <alignment horizontal="left" vertical="center"/>
    </xf>
    <xf numFmtId="41" fontId="27" fillId="0" borderId="3" xfId="0" applyNumberFormat="1" applyFont="1" applyBorder="1" applyAlignment="1">
      <alignment horizontal="center" vertical="center"/>
    </xf>
    <xf numFmtId="3" fontId="27" fillId="0" borderId="3" xfId="0" applyNumberFormat="1" applyFont="1" applyBorder="1" applyAlignment="1">
      <alignment horizontal="center" vertical="center" wrapText="1"/>
    </xf>
    <xf numFmtId="0" fontId="27" fillId="0" borderId="3" xfId="0" applyFont="1" applyBorder="1" applyAlignment="1">
      <alignment horizontal="center" vertical="center" wrapText="1"/>
    </xf>
    <xf numFmtId="0" fontId="28" fillId="0" borderId="3" xfId="1" applyFont="1" applyBorder="1" applyAlignment="1">
      <alignment horizontal="center" vertical="center" wrapText="1"/>
    </xf>
    <xf numFmtId="0" fontId="28" fillId="0" borderId="3" xfId="1" applyFont="1" applyBorder="1" applyAlignment="1">
      <alignment horizontal="center" vertical="center"/>
    </xf>
    <xf numFmtId="0" fontId="27" fillId="0" borderId="3" xfId="0" quotePrefix="1" applyFont="1" applyBorder="1" applyAlignment="1">
      <alignment horizontal="center" vertical="center"/>
    </xf>
    <xf numFmtId="41" fontId="28" fillId="0" borderId="3" xfId="2" applyFont="1" applyFill="1" applyBorder="1" applyAlignment="1">
      <alignment horizontal="center" vertical="center"/>
    </xf>
    <xf numFmtId="41" fontId="21" fillId="4" borderId="11" xfId="0" applyNumberFormat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10" fillId="6" borderId="7" xfId="0" applyFont="1" applyFill="1" applyBorder="1" applyAlignment="1">
      <alignment horizontal="center" vertical="center"/>
    </xf>
    <xf numFmtId="0" fontId="16" fillId="6" borderId="7" xfId="0" applyFont="1" applyFill="1" applyBorder="1" applyAlignment="1">
      <alignment horizontal="center" vertical="center"/>
    </xf>
    <xf numFmtId="9" fontId="22" fillId="5" borderId="41" xfId="0" applyNumberFormat="1" applyFont="1" applyFill="1" applyBorder="1" applyAlignment="1">
      <alignment horizontal="center" vertical="center"/>
    </xf>
    <xf numFmtId="9" fontId="22" fillId="5" borderId="44" xfId="0" applyNumberFormat="1" applyFont="1" applyFill="1" applyBorder="1" applyAlignment="1">
      <alignment horizontal="center" vertical="center"/>
    </xf>
    <xf numFmtId="0" fontId="33" fillId="6" borderId="7" xfId="0" applyFont="1" applyFill="1" applyBorder="1" applyAlignment="1">
      <alignment horizontal="center" vertical="center"/>
    </xf>
    <xf numFmtId="0" fontId="33" fillId="0" borderId="7" xfId="0" applyFont="1" applyBorder="1" applyAlignment="1">
      <alignment horizontal="center" vertical="center"/>
    </xf>
    <xf numFmtId="9" fontId="34" fillId="0" borderId="7" xfId="0" applyNumberFormat="1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41" fontId="16" fillId="0" borderId="6" xfId="0" applyNumberFormat="1" applyFont="1" applyBorder="1" applyAlignment="1">
      <alignment horizontal="center" vertical="center"/>
    </xf>
    <xf numFmtId="41" fontId="16" fillId="0" borderId="1" xfId="0" applyNumberFormat="1" applyFont="1" applyBorder="1" applyAlignment="1">
      <alignment horizontal="center" vertical="center"/>
    </xf>
    <xf numFmtId="41" fontId="16" fillId="0" borderId="5" xfId="0" applyNumberFormat="1" applyFont="1" applyBorder="1" applyAlignment="1">
      <alignment horizontal="center" vertical="center"/>
    </xf>
    <xf numFmtId="41" fontId="10" fillId="0" borderId="7" xfId="0" applyNumberFormat="1" applyFont="1" applyBorder="1" applyAlignment="1">
      <alignment horizontal="center" vertical="center"/>
    </xf>
    <xf numFmtId="41" fontId="5" fillId="0" borderId="7" xfId="0" quotePrefix="1" applyNumberFormat="1" applyFont="1" applyBorder="1" applyAlignment="1">
      <alignment horizontal="left" vertical="center"/>
    </xf>
    <xf numFmtId="41" fontId="5" fillId="0" borderId="17" xfId="0" quotePrefix="1" applyNumberFormat="1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 indent="1"/>
    </xf>
    <xf numFmtId="0" fontId="4" fillId="0" borderId="17" xfId="0" applyFont="1" applyBorder="1" applyAlignment="1">
      <alignment horizontal="left" vertical="center" indent="1"/>
    </xf>
    <xf numFmtId="0" fontId="4" fillId="2" borderId="7" xfId="0" applyFont="1" applyFill="1" applyBorder="1" applyAlignment="1">
      <alignment horizontal="center" vertical="center"/>
    </xf>
    <xf numFmtId="177" fontId="4" fillId="0" borderId="7" xfId="0" applyNumberFormat="1" applyFont="1" applyBorder="1" applyAlignment="1">
      <alignment horizontal="left" vertical="center" indent="1"/>
    </xf>
    <xf numFmtId="177" fontId="4" fillId="0" borderId="17" xfId="0" applyNumberFormat="1" applyFont="1" applyBorder="1" applyAlignment="1">
      <alignment horizontal="left" vertical="center" indent="1"/>
    </xf>
    <xf numFmtId="0" fontId="10" fillId="2" borderId="7" xfId="0" applyFont="1" applyFill="1" applyBorder="1" applyAlignment="1">
      <alignment horizontal="center" vertical="center"/>
    </xf>
    <xf numFmtId="177" fontId="10" fillId="0" borderId="7" xfId="0" applyNumberFormat="1" applyFont="1" applyBorder="1" applyAlignment="1">
      <alignment horizontal="left" vertical="center" indent="1"/>
    </xf>
    <xf numFmtId="177" fontId="10" fillId="0" borderId="17" xfId="0" applyNumberFormat="1" applyFont="1" applyBorder="1" applyAlignment="1">
      <alignment horizontal="left" vertical="center" indent="1"/>
    </xf>
    <xf numFmtId="178" fontId="4" fillId="0" borderId="7" xfId="0" applyNumberFormat="1" applyFont="1" applyBorder="1" applyAlignment="1">
      <alignment horizontal="left" vertical="center" indent="1"/>
    </xf>
    <xf numFmtId="178" fontId="4" fillId="0" borderId="17" xfId="0" applyNumberFormat="1" applyFont="1" applyBorder="1" applyAlignment="1">
      <alignment horizontal="left" vertical="center" indent="1"/>
    </xf>
    <xf numFmtId="0" fontId="4" fillId="3" borderId="13" xfId="0" applyFont="1" applyFill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center" vertical="center" wrapText="1"/>
    </xf>
    <xf numFmtId="0" fontId="4" fillId="3" borderId="18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/>
    </xf>
    <xf numFmtId="0" fontId="4" fillId="0" borderId="14" xfId="0" applyFont="1" applyBorder="1" applyAlignment="1">
      <alignment horizontal="left" vertical="center" indent="1"/>
    </xf>
    <xf numFmtId="0" fontId="4" fillId="0" borderId="15" xfId="0" applyFont="1" applyBorder="1" applyAlignment="1">
      <alignment horizontal="left" vertical="center" indent="1"/>
    </xf>
    <xf numFmtId="0" fontId="4" fillId="0" borderId="6" xfId="0" applyFon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 indent="1"/>
    </xf>
    <xf numFmtId="0" fontId="4" fillId="0" borderId="9" xfId="0" applyFont="1" applyBorder="1" applyAlignment="1">
      <alignment horizontal="left" vertical="center" indent="1"/>
    </xf>
    <xf numFmtId="0" fontId="4" fillId="2" borderId="13" xfId="0" applyFont="1" applyFill="1" applyBorder="1" applyAlignment="1">
      <alignment horizontal="center" vertical="center"/>
    </xf>
    <xf numFmtId="0" fontId="10" fillId="2" borderId="14" xfId="0" applyFont="1" applyFill="1" applyBorder="1" applyAlignment="1">
      <alignment horizontal="center" vertical="center"/>
    </xf>
    <xf numFmtId="0" fontId="10" fillId="2" borderId="15" xfId="0" applyFont="1" applyFill="1" applyBorder="1" applyAlignment="1">
      <alignment horizontal="center" vertical="center"/>
    </xf>
    <xf numFmtId="41" fontId="5" fillId="0" borderId="7" xfId="0" applyNumberFormat="1" applyFont="1" applyBorder="1" applyAlignment="1">
      <alignment horizontal="left" vertical="center"/>
    </xf>
    <xf numFmtId="41" fontId="5" fillId="0" borderId="17" xfId="0" applyNumberFormat="1" applyFont="1" applyBorder="1" applyAlignment="1">
      <alignment horizontal="left" vertical="center"/>
    </xf>
    <xf numFmtId="0" fontId="4" fillId="2" borderId="24" xfId="0" applyFont="1" applyFill="1" applyBorder="1" applyAlignment="1">
      <alignment horizontal="center" vertical="center"/>
    </xf>
    <xf numFmtId="0" fontId="4" fillId="0" borderId="24" xfId="0" applyFont="1" applyBorder="1" applyAlignment="1">
      <alignment horizontal="left" vertical="center" indent="1"/>
    </xf>
    <xf numFmtId="0" fontId="4" fillId="0" borderId="25" xfId="0" applyFont="1" applyBorder="1" applyAlignment="1">
      <alignment horizontal="left" vertical="center" indent="1"/>
    </xf>
    <xf numFmtId="0" fontId="4" fillId="2" borderId="19" xfId="0" applyFont="1" applyFill="1" applyBorder="1" applyAlignment="1">
      <alignment horizontal="center" vertical="center"/>
    </xf>
    <xf numFmtId="0" fontId="4" fillId="0" borderId="19" xfId="0" applyFont="1" applyBorder="1" applyAlignment="1">
      <alignment horizontal="left" vertical="center" indent="1"/>
    </xf>
    <xf numFmtId="0" fontId="4" fillId="0" borderId="20" xfId="0" applyFont="1" applyBorder="1" applyAlignment="1">
      <alignment horizontal="left" vertical="center" indent="1"/>
    </xf>
    <xf numFmtId="41" fontId="30" fillId="5" borderId="44" xfId="0" applyNumberFormat="1" applyFont="1" applyFill="1" applyBorder="1" applyAlignment="1">
      <alignment horizontal="center" vertical="center"/>
    </xf>
    <xf numFmtId="0" fontId="4" fillId="0" borderId="21" xfId="0" applyFont="1" applyBorder="1" applyAlignment="1">
      <alignment horizontal="left" vertical="center" indent="1"/>
    </xf>
    <xf numFmtId="0" fontId="4" fillId="0" borderId="22" xfId="0" applyFont="1" applyBorder="1" applyAlignment="1">
      <alignment horizontal="left" vertical="center" indent="1"/>
    </xf>
    <xf numFmtId="41" fontId="16" fillId="0" borderId="7" xfId="0" applyNumberFormat="1" applyFont="1" applyBorder="1" applyAlignment="1">
      <alignment horizontal="center" vertical="center"/>
    </xf>
    <xf numFmtId="0" fontId="13" fillId="2" borderId="16" xfId="0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/>
    </xf>
    <xf numFmtId="41" fontId="5" fillId="0" borderId="7" xfId="0" quotePrefix="1" applyNumberFormat="1" applyFont="1" applyBorder="1" applyAlignment="1">
      <alignment horizontal="left" vertical="center" wrapText="1"/>
    </xf>
    <xf numFmtId="0" fontId="21" fillId="4" borderId="11" xfId="0" applyFont="1" applyFill="1" applyBorder="1" applyAlignment="1">
      <alignment horizontal="center" vertical="center"/>
    </xf>
    <xf numFmtId="0" fontId="21" fillId="4" borderId="12" xfId="0" applyFont="1" applyFill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9" fillId="5" borderId="40" xfId="0" applyFont="1" applyFill="1" applyBorder="1" applyAlignment="1">
      <alignment horizontal="center" vertical="center"/>
    </xf>
    <xf numFmtId="0" fontId="29" fillId="5" borderId="41" xfId="0" applyFont="1" applyFill="1" applyBorder="1" applyAlignment="1">
      <alignment horizontal="center" vertical="center"/>
    </xf>
    <xf numFmtId="0" fontId="30" fillId="5" borderId="38" xfId="0" applyFont="1" applyFill="1" applyBorder="1" applyAlignment="1">
      <alignment horizontal="center" vertical="center"/>
    </xf>
    <xf numFmtId="0" fontId="30" fillId="5" borderId="22" xfId="0" applyFont="1" applyFill="1" applyBorder="1" applyAlignment="1">
      <alignment horizontal="center" vertical="center"/>
    </xf>
    <xf numFmtId="0" fontId="30" fillId="5" borderId="10" xfId="0" applyFont="1" applyFill="1" applyBorder="1" applyAlignment="1">
      <alignment horizontal="center" vertical="center"/>
    </xf>
    <xf numFmtId="0" fontId="30" fillId="5" borderId="11" xfId="0" applyFont="1" applyFill="1" applyBorder="1" applyAlignment="1">
      <alignment horizontal="center" vertical="center"/>
    </xf>
    <xf numFmtId="0" fontId="29" fillId="5" borderId="43" xfId="0" applyFont="1" applyFill="1" applyBorder="1" applyAlignment="1">
      <alignment horizontal="center" vertical="center"/>
    </xf>
    <xf numFmtId="0" fontId="29" fillId="5" borderId="44" xfId="0" applyFont="1" applyFill="1" applyBorder="1" applyAlignment="1">
      <alignment horizontal="center" vertical="center"/>
    </xf>
    <xf numFmtId="41" fontId="30" fillId="5" borderId="41" xfId="0" applyNumberFormat="1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10" fillId="2" borderId="19" xfId="0" applyFont="1" applyFill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20" fillId="5" borderId="44" xfId="0" applyFont="1" applyFill="1" applyBorder="1" applyAlignment="1">
      <alignment horizontal="center" vertical="center"/>
    </xf>
    <xf numFmtId="0" fontId="22" fillId="5" borderId="44" xfId="0" quotePrefix="1" applyFont="1" applyFill="1" applyBorder="1" applyAlignment="1">
      <alignment horizontal="center" vertical="center"/>
    </xf>
    <xf numFmtId="0" fontId="22" fillId="5" borderId="44" xfId="0" applyFont="1" applyFill="1" applyBorder="1" applyAlignment="1">
      <alignment horizontal="center" vertical="center"/>
    </xf>
    <xf numFmtId="0" fontId="22" fillId="5" borderId="45" xfId="0" applyFont="1" applyFill="1" applyBorder="1" applyAlignment="1">
      <alignment horizontal="center" vertical="center"/>
    </xf>
    <xf numFmtId="0" fontId="13" fillId="0" borderId="0" xfId="0" applyFont="1" applyAlignment="1">
      <alignment horizontal="left" vertical="center" wrapText="1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20" fillId="5" borderId="40" xfId="0" applyFont="1" applyFill="1" applyBorder="1" applyAlignment="1">
      <alignment horizontal="center" vertical="center"/>
    </xf>
    <xf numFmtId="0" fontId="20" fillId="5" borderId="41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4" fillId="2" borderId="39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0" fillId="5" borderId="43" xfId="0" applyFont="1" applyFill="1" applyBorder="1" applyAlignment="1">
      <alignment horizontal="center" vertical="center"/>
    </xf>
    <xf numFmtId="0" fontId="20" fillId="5" borderId="42" xfId="0" applyFont="1" applyFill="1" applyBorder="1" applyAlignment="1">
      <alignment horizontal="center" vertical="center"/>
    </xf>
    <xf numFmtId="41" fontId="20" fillId="5" borderId="44" xfId="0" applyNumberFormat="1" applyFont="1" applyFill="1" applyBorder="1" applyAlignment="1">
      <alignment horizontal="center" vertical="center"/>
    </xf>
    <xf numFmtId="0" fontId="21" fillId="4" borderId="10" xfId="0" applyFont="1" applyFill="1" applyBorder="1" applyAlignment="1">
      <alignment horizontal="center" vertical="center"/>
    </xf>
    <xf numFmtId="41" fontId="21" fillId="4" borderId="11" xfId="0" applyNumberFormat="1" applyFont="1" applyFill="1" applyBorder="1" applyAlignment="1">
      <alignment horizontal="center" vertical="center"/>
    </xf>
    <xf numFmtId="41" fontId="17" fillId="2" borderId="6" xfId="0" applyNumberFormat="1" applyFont="1" applyFill="1" applyBorder="1" applyAlignment="1">
      <alignment horizontal="left" vertical="center" indent="1"/>
    </xf>
    <xf numFmtId="41" fontId="17" fillId="2" borderId="1" xfId="0" applyNumberFormat="1" applyFont="1" applyFill="1" applyBorder="1" applyAlignment="1">
      <alignment horizontal="left" vertical="center" indent="1"/>
    </xf>
    <xf numFmtId="41" fontId="17" fillId="2" borderId="9" xfId="0" applyNumberFormat="1" applyFont="1" applyFill="1" applyBorder="1" applyAlignment="1">
      <alignment horizontal="left" vertical="center" indent="1"/>
    </xf>
    <xf numFmtId="0" fontId="31" fillId="0" borderId="16" xfId="0" applyFont="1" applyBorder="1" applyAlignment="1">
      <alignment horizontal="center" vertical="center"/>
    </xf>
    <xf numFmtId="0" fontId="31" fillId="0" borderId="7" xfId="0" applyFont="1" applyBorder="1" applyAlignment="1">
      <alignment horizontal="center" vertical="center"/>
    </xf>
    <xf numFmtId="41" fontId="32" fillId="0" borderId="6" xfId="0" applyNumberFormat="1" applyFont="1" applyBorder="1" applyAlignment="1">
      <alignment horizontal="center" vertical="center"/>
    </xf>
    <xf numFmtId="41" fontId="32" fillId="0" borderId="1" xfId="0" applyNumberFormat="1" applyFont="1" applyBorder="1" applyAlignment="1">
      <alignment horizontal="center" vertical="center"/>
    </xf>
    <xf numFmtId="41" fontId="32" fillId="0" borderId="5" xfId="0" applyNumberFormat="1" applyFont="1" applyBorder="1" applyAlignment="1">
      <alignment horizontal="center" vertical="center"/>
    </xf>
    <xf numFmtId="41" fontId="32" fillId="0" borderId="7" xfId="0" applyNumberFormat="1" applyFont="1" applyBorder="1" applyAlignment="1">
      <alignment horizontal="center" vertical="center"/>
    </xf>
    <xf numFmtId="41" fontId="33" fillId="0" borderId="7" xfId="0" applyNumberFormat="1" applyFont="1" applyBorder="1" applyAlignment="1">
      <alignment horizontal="center" vertical="center"/>
    </xf>
    <xf numFmtId="41" fontId="35" fillId="0" borderId="7" xfId="0" quotePrefix="1" applyNumberFormat="1" applyFont="1" applyBorder="1" applyAlignment="1">
      <alignment horizontal="left" vertical="center"/>
    </xf>
    <xf numFmtId="41" fontId="35" fillId="0" borderId="7" xfId="0" applyNumberFormat="1" applyFont="1" applyBorder="1" applyAlignment="1">
      <alignment horizontal="left" vertical="center"/>
    </xf>
    <xf numFmtId="41" fontId="35" fillId="0" borderId="17" xfId="0" applyNumberFormat="1" applyFont="1" applyBorder="1" applyAlignment="1">
      <alignment horizontal="left" vertical="center"/>
    </xf>
    <xf numFmtId="0" fontId="19" fillId="5" borderId="41" xfId="0" quotePrefix="1" applyFont="1" applyFill="1" applyBorder="1" applyAlignment="1">
      <alignment horizontal="center" vertical="center"/>
    </xf>
    <xf numFmtId="0" fontId="19" fillId="5" borderId="42" xfId="0" quotePrefix="1" applyFont="1" applyFill="1" applyBorder="1" applyAlignment="1">
      <alignment horizontal="center" vertical="center"/>
    </xf>
    <xf numFmtId="0" fontId="19" fillId="5" borderId="44" xfId="0" applyFont="1" applyFill="1" applyBorder="1" applyAlignment="1">
      <alignment horizontal="center" vertical="center"/>
    </xf>
    <xf numFmtId="0" fontId="19" fillId="5" borderId="45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41" fontId="20" fillId="5" borderId="41" xfId="0" applyNumberFormat="1" applyFont="1" applyFill="1" applyBorder="1" applyAlignment="1">
      <alignment horizontal="center" vertical="center"/>
    </xf>
    <xf numFmtId="0" fontId="19" fillId="5" borderId="38" xfId="0" applyFont="1" applyFill="1" applyBorder="1" applyAlignment="1">
      <alignment horizontal="center" vertical="center" wrapText="1"/>
    </xf>
    <xf numFmtId="0" fontId="19" fillId="5" borderId="22" xfId="0" applyFont="1" applyFill="1" applyBorder="1" applyAlignment="1">
      <alignment horizontal="center" vertical="center" wrapText="1"/>
    </xf>
    <xf numFmtId="0" fontId="19" fillId="5" borderId="10" xfId="0" applyFont="1" applyFill="1" applyBorder="1" applyAlignment="1">
      <alignment horizontal="center" vertical="center" wrapText="1"/>
    </xf>
    <xf numFmtId="0" fontId="19" fillId="5" borderId="11" xfId="0" applyFont="1" applyFill="1" applyBorder="1" applyAlignment="1">
      <alignment horizontal="center" vertical="center" wrapText="1"/>
    </xf>
    <xf numFmtId="0" fontId="10" fillId="2" borderId="16" xfId="0" applyFont="1" applyFill="1" applyBorder="1" applyAlignment="1">
      <alignment horizontal="center" vertical="center"/>
    </xf>
    <xf numFmtId="0" fontId="4" fillId="2" borderId="33" xfId="0" applyFont="1" applyFill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/>
    </xf>
    <xf numFmtId="41" fontId="10" fillId="0" borderId="6" xfId="0" applyNumberFormat="1" applyFont="1" applyBorder="1" applyAlignment="1">
      <alignment horizontal="center" vertical="center"/>
    </xf>
    <xf numFmtId="41" fontId="10" fillId="0" borderId="1" xfId="0" applyNumberFormat="1" applyFont="1" applyBorder="1" applyAlignment="1">
      <alignment horizontal="center" vertical="center"/>
    </xf>
    <xf numFmtId="41" fontId="10" fillId="0" borderId="5" xfId="0" applyNumberFormat="1" applyFont="1" applyBorder="1" applyAlignment="1">
      <alignment horizontal="center" vertical="center"/>
    </xf>
    <xf numFmtId="41" fontId="4" fillId="0" borderId="6" xfId="0" quotePrefix="1" applyNumberFormat="1" applyFont="1" applyBorder="1" applyAlignment="1">
      <alignment horizontal="left" vertical="center"/>
    </xf>
    <xf numFmtId="41" fontId="4" fillId="0" borderId="1" xfId="0" quotePrefix="1" applyNumberFormat="1" applyFont="1" applyBorder="1" applyAlignment="1">
      <alignment horizontal="left" vertical="center"/>
    </xf>
    <xf numFmtId="41" fontId="4" fillId="0" borderId="9" xfId="0" quotePrefix="1" applyNumberFormat="1" applyFont="1" applyBorder="1" applyAlignment="1">
      <alignment horizontal="left" vertical="center"/>
    </xf>
    <xf numFmtId="0" fontId="4" fillId="0" borderId="26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23" fillId="5" borderId="8" xfId="0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23" fillId="5" borderId="10" xfId="0" applyFont="1" applyFill="1" applyBorder="1" applyAlignment="1">
      <alignment horizontal="center" vertical="center"/>
    </xf>
    <xf numFmtId="0" fontId="23" fillId="5" borderId="11" xfId="0" applyFont="1" applyFill="1" applyBorder="1" applyAlignment="1">
      <alignment horizontal="center" vertical="center"/>
    </xf>
    <xf numFmtId="41" fontId="23" fillId="5" borderId="1" xfId="0" applyNumberFormat="1" applyFont="1" applyFill="1" applyBorder="1" applyAlignment="1">
      <alignment horizontal="center" vertical="center"/>
    </xf>
    <xf numFmtId="41" fontId="23" fillId="5" borderId="11" xfId="0" applyNumberFormat="1" applyFont="1" applyFill="1" applyBorder="1" applyAlignment="1">
      <alignment horizontal="center" vertical="center"/>
    </xf>
    <xf numFmtId="41" fontId="23" fillId="5" borderId="1" xfId="0" quotePrefix="1" applyNumberFormat="1" applyFont="1" applyFill="1" applyBorder="1" applyAlignment="1">
      <alignment horizontal="center" vertical="center"/>
    </xf>
    <xf numFmtId="41" fontId="23" fillId="5" borderId="9" xfId="0" quotePrefix="1" applyNumberFormat="1" applyFont="1" applyFill="1" applyBorder="1" applyAlignment="1">
      <alignment horizontal="center" vertical="center"/>
    </xf>
    <xf numFmtId="41" fontId="23" fillId="5" borderId="11" xfId="0" quotePrefix="1" applyNumberFormat="1" applyFont="1" applyFill="1" applyBorder="1" applyAlignment="1">
      <alignment horizontal="center" vertical="center"/>
    </xf>
    <xf numFmtId="41" fontId="23" fillId="5" borderId="12" xfId="0" quotePrefix="1" applyNumberFormat="1" applyFont="1" applyFill="1" applyBorder="1" applyAlignment="1">
      <alignment horizontal="center" vertical="center"/>
    </xf>
    <xf numFmtId="41" fontId="4" fillId="0" borderId="7" xfId="0" quotePrefix="1" applyNumberFormat="1" applyFont="1" applyBorder="1" applyAlignment="1">
      <alignment horizontal="left" vertical="center"/>
    </xf>
    <xf numFmtId="41" fontId="4" fillId="0" borderId="17" xfId="0" quotePrefix="1" applyNumberFormat="1" applyFont="1" applyBorder="1" applyAlignment="1">
      <alignment horizontal="left" vertical="center"/>
    </xf>
    <xf numFmtId="41" fontId="4" fillId="0" borderId="7" xfId="0" quotePrefix="1" applyNumberFormat="1" applyFont="1" applyBorder="1" applyAlignment="1">
      <alignment horizontal="left" vertical="center" wrapText="1"/>
    </xf>
    <xf numFmtId="41" fontId="4" fillId="0" borderId="7" xfId="0" applyNumberFormat="1" applyFont="1" applyBorder="1" applyAlignment="1">
      <alignment horizontal="left" vertical="center"/>
    </xf>
    <xf numFmtId="41" fontId="4" fillId="0" borderId="17" xfId="0" applyNumberFormat="1" applyFont="1" applyBorder="1" applyAlignment="1">
      <alignment horizontal="left" vertical="center"/>
    </xf>
    <xf numFmtId="0" fontId="23" fillId="5" borderId="26" xfId="0" applyFont="1" applyFill="1" applyBorder="1" applyAlignment="1">
      <alignment horizontal="center" vertical="center"/>
    </xf>
    <xf numFmtId="0" fontId="23" fillId="5" borderId="27" xfId="0" applyFont="1" applyFill="1" applyBorder="1" applyAlignment="1">
      <alignment horizontal="center" vertical="center"/>
    </xf>
    <xf numFmtId="0" fontId="23" fillId="5" borderId="36" xfId="0" applyFont="1" applyFill="1" applyBorder="1" applyAlignment="1">
      <alignment horizontal="center" vertical="center"/>
    </xf>
    <xf numFmtId="0" fontId="23" fillId="5" borderId="2" xfId="0" applyFont="1" applyFill="1" applyBorder="1" applyAlignment="1">
      <alignment horizontal="center" vertical="center"/>
    </xf>
    <xf numFmtId="41" fontId="23" fillId="5" borderId="27" xfId="0" applyNumberFormat="1" applyFont="1" applyFill="1" applyBorder="1" applyAlignment="1">
      <alignment horizontal="center" vertical="center"/>
    </xf>
    <xf numFmtId="41" fontId="23" fillId="5" borderId="2" xfId="0" applyNumberFormat="1" applyFont="1" applyFill="1" applyBorder="1" applyAlignment="1">
      <alignment horizontal="center" vertical="center"/>
    </xf>
    <xf numFmtId="41" fontId="23" fillId="5" borderId="27" xfId="0" quotePrefix="1" applyNumberFormat="1" applyFont="1" applyFill="1" applyBorder="1" applyAlignment="1">
      <alignment horizontal="center" vertical="center"/>
    </xf>
    <xf numFmtId="41" fontId="23" fillId="5" borderId="32" xfId="0" quotePrefix="1" applyNumberFormat="1" applyFont="1" applyFill="1" applyBorder="1" applyAlignment="1">
      <alignment horizontal="center" vertical="center"/>
    </xf>
    <xf numFmtId="41" fontId="23" fillId="5" borderId="2" xfId="0" quotePrefix="1" applyNumberFormat="1" applyFont="1" applyFill="1" applyBorder="1" applyAlignment="1">
      <alignment horizontal="center" vertical="center"/>
    </xf>
    <xf numFmtId="41" fontId="23" fillId="5" borderId="37" xfId="0" quotePrefix="1" applyNumberFormat="1" applyFont="1" applyFill="1" applyBorder="1" applyAlignment="1">
      <alignment horizontal="center" vertical="center"/>
    </xf>
    <xf numFmtId="0" fontId="15" fillId="0" borderId="7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/>
    </xf>
    <xf numFmtId="0" fontId="15" fillId="0" borderId="33" xfId="0" quotePrefix="1" applyFont="1" applyBorder="1" applyAlignment="1">
      <alignment horizontal="center" vertical="center"/>
    </xf>
    <xf numFmtId="0" fontId="15" fillId="0" borderId="34" xfId="0" quotePrefix="1" applyFont="1" applyBorder="1" applyAlignment="1">
      <alignment horizontal="center" vertical="center"/>
    </xf>
    <xf numFmtId="0" fontId="15" fillId="0" borderId="35" xfId="0" quotePrefix="1" applyFont="1" applyBorder="1" applyAlignment="1">
      <alignment horizontal="center" vertical="center"/>
    </xf>
    <xf numFmtId="0" fontId="10" fillId="0" borderId="33" xfId="0" applyFont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10" fillId="0" borderId="35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</cellXfs>
  <cellStyles count="7">
    <cellStyle name="쉼표 [0] 2" xfId="2"/>
    <cellStyle name="쉼표 [0] 2 2" xfId="6"/>
    <cellStyle name="쉼표 [0] 3" xfId="4"/>
    <cellStyle name="표준" xfId="0" builtinId="0"/>
    <cellStyle name="표준 2" xfId="1"/>
    <cellStyle name="표준 2 2" xfId="5"/>
    <cellStyle name="표준 2 3" xfId="3"/>
  </cellStyles>
  <dxfs count="0"/>
  <tableStyles count="0" defaultTableStyle="TableStyleMedium2" defaultPivotStyle="PivotStyleLight16"/>
  <colors>
    <mruColors>
      <color rgb="FF3399FF"/>
      <color rgb="FF0000FF"/>
      <color rgb="FFF8F8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10" Type="http://schemas.openxmlformats.org/officeDocument/2006/relationships/externalLink" Target="externalLinks/externalLink7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22171</xdr:colOff>
      <xdr:row>1</xdr:row>
      <xdr:rowOff>33461</xdr:rowOff>
    </xdr:from>
    <xdr:ext cx="1021218" cy="152400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8411" y="223961"/>
          <a:ext cx="1021218" cy="152400"/>
        </a:xfrm>
        <a:prstGeom prst="rect">
          <a:avLst/>
        </a:prstGeom>
      </xdr:spPr>
    </xdr:pic>
    <xdr:clientData/>
  </xdr:oneCellAnchor>
  <xdr:twoCellAnchor editAs="oneCell">
    <xdr:from>
      <xdr:col>22</xdr:col>
      <xdr:colOff>142875</xdr:colOff>
      <xdr:row>1</xdr:row>
      <xdr:rowOff>15984</xdr:rowOff>
    </xdr:from>
    <xdr:to>
      <xdr:col>25</xdr:col>
      <xdr:colOff>272815</xdr:colOff>
      <xdr:row>2</xdr:row>
      <xdr:rowOff>19091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8" t="9303" r="3510" b="11628"/>
        <a:stretch/>
      </xdr:blipFill>
      <xdr:spPr>
        <a:xfrm>
          <a:off x="6109335" y="206484"/>
          <a:ext cx="965283" cy="19360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22171</xdr:colOff>
      <xdr:row>1</xdr:row>
      <xdr:rowOff>33461</xdr:rowOff>
    </xdr:from>
    <xdr:ext cx="1021218" cy="152400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2221" y="233486"/>
          <a:ext cx="1021218" cy="152400"/>
        </a:xfrm>
        <a:prstGeom prst="rect">
          <a:avLst/>
        </a:prstGeom>
      </xdr:spPr>
    </xdr:pic>
    <xdr:clientData/>
  </xdr:oneCellAnchor>
  <xdr:twoCellAnchor editAs="oneCell">
    <xdr:from>
      <xdr:col>22</xdr:col>
      <xdr:colOff>142875</xdr:colOff>
      <xdr:row>1</xdr:row>
      <xdr:rowOff>15984</xdr:rowOff>
    </xdr:from>
    <xdr:to>
      <xdr:col>26</xdr:col>
      <xdr:colOff>10879</xdr:colOff>
      <xdr:row>2</xdr:row>
      <xdr:rowOff>19091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8" t="9303" r="3510" b="11628"/>
        <a:stretch/>
      </xdr:blipFill>
      <xdr:spPr>
        <a:xfrm>
          <a:off x="6067425" y="216009"/>
          <a:ext cx="972904" cy="20313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8976209\c\&#47588;&#53356;&#47196;&#50672;&#44208;\Book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ODY4TEAM7\&#44053;&#44552;&#44396;\!&#44049;&#47928;-~1\&#44277;&#48277;&#49436;\&#44277;&#51221;&#44277;&#48277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96_JAPAN\96MEET\JAPAN\&#54952;&#50984;&#48516;&#49437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f\Home\&#47932;&#46041;\WBR\Check%20Point%20All%20List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&#54728;&#48276;&#51333;/Downloads/&#49352;%20&#54260;&#45908;/&#44204;&#51201;&#49436;&#50577;&#49885;(&#44053;&#45224;)/(&#49888;&#44508;)&#44032;&#44201;&#51228;&#50504;&#49436;(&#49688;&#51221;)_20140113_&#51060;&#44592;&#5068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f\Home\Documents%20and%20Settings\user\My%20Documents\NEOBIZBOX%20&#48155;&#51008;%20&#54028;&#51068;\&#51064;&#52285;&#51204;&#51088;20090310_&#47560;&#49828;&#53552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ckup\ERP_TFT\&#50629;&#47924;\1&#48264;.&#44396;&#47588;\3.%20&#44396;&#47588;&#44508;&#51221;&amp;&#49436;&#49885;&amp;&#52280;&#44256;\B.%20&#44396;&#47588;&#49436;&#49885;\&#50629;&#47924;\1&#48264;.&#44396;&#47588;\1.%20PROJECT\03&#45380;\C.%20C%206LINE(6L)\&#48156;&#51452;&#44288;&#47144;\&#26412;&#48156;&#51452;\2.%20%20AL&#50517;&#52636;&#51116;\&#50980;&#48337;&#54984;\MY%20JOB%20III(&#44396;&#47588;)\1.%20PROJECT\C.%20C%206LINE\DFK%20&#50672;&#44208;\&#12593;.%20&#51109;&#48148;&#48156;&#51452;(TANIGUCHI&#49345;%20&#50836;&#52397;)\(92~100)_&#51109;&#48148;_&#54200;&#51665;&#23436;_03061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Book1"/>
      <sheetName val="2.대외공문"/>
      <sheetName val="#REF"/>
      <sheetName val="품의서"/>
      <sheetName val="Macro1"/>
      <sheetName val="11"/>
      <sheetName val="주행"/>
      <sheetName val="표지★"/>
      <sheetName val="p2-1"/>
      <sheetName val="MX628EX"/>
      <sheetName val="BASE"/>
      <sheetName val="CAMERA"/>
      <sheetName val="BUS제원1"/>
      <sheetName val="기안"/>
      <sheetName val="신규DEP"/>
      <sheetName val="협조전"/>
      <sheetName val="대외공문"/>
      <sheetName val="626TD(COLOR)"/>
      <sheetName val="카케라1"/>
      <sheetName val="카메라4"/>
      <sheetName val="원단위"/>
      <sheetName val="RD제품개발투자비(매가)"/>
      <sheetName val="표2"/>
      <sheetName val="so-021"/>
      <sheetName val="수입"/>
      <sheetName val="7.5 재질별 수율"/>
      <sheetName val="Option"/>
      <sheetName val="2_대외공문"/>
      <sheetName val="7_5_재질별_수율"/>
      <sheetName val="대"/>
      <sheetName val="●현황"/>
      <sheetName val="●목차"/>
      <sheetName val="수리결과"/>
      <sheetName val="CAUDIT"/>
      <sheetName val="Sheet2"/>
      <sheetName val="가격구성"/>
      <sheetName val="오퍼링셋"/>
      <sheetName val="DATA"/>
      <sheetName val="전산품의"/>
      <sheetName val="10월가격"/>
      <sheetName val="효율계획(당월)"/>
      <sheetName val="전체실적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712"/>
      <sheetName val="711-2"/>
      <sheetName val="711-3"/>
      <sheetName val="711"/>
      <sheetName val="vxxxxxxxxxxxxxxxxxxxxxxxx"/>
      <sheetName val="wxxxxxxxxxxxxxxxxxxxxxxxx"/>
      <sheetName val="xxxxxxxxxxxxxxxxxxxxxxxxx"/>
      <sheetName val="표지-향후"/>
      <sheetName val="변경사항FUP-향후"/>
      <sheetName val="목차-향후"/>
      <sheetName val="설비사양서C-향후"/>
      <sheetName val="공정별현황-향후"/>
      <sheetName val="MCP-L-O-향후"/>
      <sheetName val="TIME CHART-향후"/>
      <sheetName val="LWR-INR향후고려"/>
      <sheetName val="LWR-INR RESPOT향후"/>
      <sheetName val="LWR-OTR 향후"/>
      <sheetName val="LWR-ASSY-향후고려"/>
      <sheetName val="LWR-ASSY RESPOT향후차종"/>
      <sheetName val="KEY ASSY 향후차종"/>
      <sheetName val="KEY ASSY RESPOT향후"/>
      <sheetName val="장비&amp;작업자 향후"/>
      <sheetName val="안전&amp;작업설비-향후"/>
      <sheetName val="용접L -향후"/>
      <sheetName val="용접조건표-향후"/>
      <sheetName val="용접조건표-향후 (3)"/>
      <sheetName val="지우지말것-중요 (2)"/>
      <sheetName val="지우지말것-중요"/>
      <sheetName val="지우지말것"/>
      <sheetName val="LIST9"/>
      <sheetName val="11월가격"/>
      <sheetName val="대"/>
      <sheetName val="F4-F7"/>
      <sheetName val="#REF"/>
      <sheetName val="●목차"/>
      <sheetName val="Supplement2"/>
      <sheetName val="TIME_CHART-향후"/>
      <sheetName val="LWR-INR_RESPOT향후"/>
      <sheetName val="LWR-OTR_향후"/>
      <sheetName val="LWR-ASSY_RESPOT향후차종"/>
      <sheetName val="KEY_ASSY_향후차종"/>
      <sheetName val="KEY_ASSY_RESPOT향후"/>
      <sheetName val="장비&amp;작업자_향후"/>
      <sheetName val="용접L_-향후"/>
      <sheetName val="용접조건표-향후_(3)"/>
      <sheetName val="지우지말것-중요_(2)"/>
      <sheetName val="보고"/>
      <sheetName val="판매46"/>
      <sheetName val="선수금반제"/>
      <sheetName val="표지"/>
      <sheetName val="자체실적1Q"/>
      <sheetName val="내역"/>
    </sheetNames>
    <sheetDataSet>
      <sheetData sheetId="0" refreshError="1"/>
      <sheetData sheetId="1" refreshError="1"/>
      <sheetData sheetId="2" refreshError="1"/>
      <sheetData sheetId="3">
        <row r="62">
          <cell r="AC62" t="str">
            <v>710-22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전월대비"/>
      <sheetName val="전체실적"/>
      <sheetName val="목표대비"/>
      <sheetName val="당월.누계"/>
      <sheetName val="사업소별"/>
      <sheetName val="효율계획(당월)"/>
      <sheetName val="업체입고현황"/>
      <sheetName val="공장불출현황"/>
      <sheetName val="효율계획_당월_"/>
      <sheetName val="Sheet1"/>
      <sheetName val="Sheet2"/>
      <sheetName val="Sheet3"/>
      <sheetName val="도시가스"/>
      <sheetName val="수선유지비내역"/>
      <sheetName val="투자내역"/>
      <sheetName val="효율분석"/>
      <sheetName val="(BS,CF)-BACK"/>
      <sheetName val="전산품의"/>
      <sheetName val="#REF"/>
      <sheetName val="신규DEP"/>
      <sheetName val="7.5 재질별 수율"/>
      <sheetName val="Option"/>
      <sheetName val="Upgrades pricing"/>
      <sheetName val="당월_누계"/>
      <sheetName val="기안"/>
      <sheetName val="7.3 DY팀"/>
      <sheetName val="Balance Sheet(AR)"/>
      <sheetName val="Income Statement(AR)"/>
      <sheetName val="TaxCalc"/>
      <sheetName val="장기차입금"/>
      <sheetName val="CAUDIT"/>
      <sheetName val="담당자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OL"/>
      <sheetName val="SVR"/>
      <sheetName val="PWS"/>
      <sheetName val="SS"/>
      <sheetName val="Sheet3"/>
      <sheetName val="Sheet4"/>
      <sheetName val="Sheet2"/>
      <sheetName val=" 견적서"/>
      <sheetName val="CAUDIT"/>
      <sheetName val="Sheet1"/>
      <sheetName val="full (2)"/>
      <sheetName val="Sheet10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코드표"/>
      <sheetName val="표지"/>
      <sheetName val="견적서"/>
      <sheetName val="주문서"/>
    </sheetNames>
    <sheetDataSet>
      <sheetData sheetId="0">
        <row r="2">
          <cell r="A2" t="str">
            <v>이기영 부장</v>
          </cell>
          <cell r="C2" t="str">
            <v>DBMS SyBase (필수 D/B, PC당 1개)</v>
          </cell>
        </row>
        <row r="3">
          <cell r="A3" t="str">
            <v>반석재 부장</v>
          </cell>
          <cell r="C3" t="str">
            <v>APO         서버관리 (5G)</v>
          </cell>
        </row>
        <row r="4">
          <cell r="A4" t="str">
            <v>음성훈 차장</v>
          </cell>
          <cell r="C4" t="str">
            <v>하나은행 공동프로모션
중소기업정보화지원사업 20%</v>
          </cell>
        </row>
        <row r="5">
          <cell r="A5" t="str">
            <v>최한성 과장</v>
          </cell>
          <cell r="C5" t="str">
            <v>특별할인 (소개건 10%)</v>
          </cell>
        </row>
        <row r="6">
          <cell r="A6" t="str">
            <v>정찬필 과장</v>
          </cell>
          <cell r="C6" t="str">
            <v>[신규]============================================</v>
          </cell>
        </row>
        <row r="7">
          <cell r="A7" t="str">
            <v>임동호 대리</v>
          </cell>
          <cell r="C7" t="str">
            <v>더존 SmartA  세무회계용 [무상지원]</v>
          </cell>
        </row>
        <row r="8">
          <cell r="A8" t="str">
            <v>조광희 과장</v>
          </cell>
          <cell r="C8" t="str">
            <v>더존 SmartA  재무회계</v>
          </cell>
        </row>
        <row r="9">
          <cell r="A9" t="str">
            <v>오재범 대리</v>
          </cell>
          <cell r="C9" t="str">
            <v>더존 SmartA  인사급여</v>
          </cell>
        </row>
        <row r="10">
          <cell r="A10" t="str">
            <v>장태호 대리</v>
          </cell>
          <cell r="C10" t="str">
            <v>더존 SmartA  재무회계 (현장관리)</v>
          </cell>
        </row>
        <row r="11">
          <cell r="A11" t="str">
            <v>송재웅 대리</v>
          </cell>
          <cell r="C11" t="str">
            <v>더존 SmartA  물류관리 (유통업용)</v>
          </cell>
        </row>
        <row r="12">
          <cell r="C12" t="str">
            <v>더존 SmartA  물류관리 (제조업용)</v>
          </cell>
        </row>
        <row r="13">
          <cell r="A13" t="str">
            <v>박병훈</v>
          </cell>
          <cell r="C13" t="str">
            <v>더존 SmartA  법인조정</v>
          </cell>
        </row>
        <row r="14">
          <cell r="A14" t="str">
            <v>이기학</v>
          </cell>
          <cell r="C14" t="str">
            <v>더존 SmartA  개인조정</v>
          </cell>
        </row>
        <row r="15">
          <cell r="A15" t="str">
            <v>이승범</v>
          </cell>
          <cell r="C15" t="str">
            <v>더존 SmartA  일용직 노무관리</v>
          </cell>
        </row>
        <row r="16">
          <cell r="A16" t="str">
            <v>전요찬</v>
          </cell>
          <cell r="C16" t="str">
            <v>더존 SmartA  경영관리-R2</v>
          </cell>
        </row>
        <row r="17">
          <cell r="A17" t="str">
            <v>서재현</v>
          </cell>
          <cell r="C17" t="str">
            <v>더존 SmartA 클라우드 For Tax (월납)</v>
          </cell>
        </row>
        <row r="18">
          <cell r="A18" t="str">
            <v>이상훈</v>
          </cell>
          <cell r="C18" t="str">
            <v>더존 SmartA 클라우드 For Tax 추가 (월납)</v>
          </cell>
        </row>
        <row r="19">
          <cell r="A19" t="str">
            <v>박상욱</v>
          </cell>
          <cell r="C19" t="str">
            <v>============================================</v>
          </cell>
        </row>
        <row r="20">
          <cell r="A20" t="str">
            <v>권종인</v>
          </cell>
          <cell r="C20" t="str">
            <v>더존 SmartA  세무회계용 [추가]</v>
          </cell>
        </row>
        <row r="21">
          <cell r="A21" t="str">
            <v>방기민</v>
          </cell>
          <cell r="C21" t="str">
            <v>더존 SmartA  재무회계 [추가]</v>
          </cell>
        </row>
        <row r="22">
          <cell r="A22" t="str">
            <v>김용대</v>
          </cell>
          <cell r="C22" t="str">
            <v>더존 SmartA  인사급여 [추가]</v>
          </cell>
        </row>
        <row r="23">
          <cell r="A23" t="str">
            <v>변용수</v>
          </cell>
          <cell r="C23" t="str">
            <v>더존 SmartA  재무회계(현장관리) [추가]</v>
          </cell>
        </row>
        <row r="24">
          <cell r="A24" t="str">
            <v>양홍주</v>
          </cell>
          <cell r="C24" t="str">
            <v>더존 SmartA  물류관리(유통업용) [추가]</v>
          </cell>
        </row>
        <row r="25">
          <cell r="C25" t="str">
            <v>더존 SmartA  물류관리(제조업용) [추가]</v>
          </cell>
        </row>
        <row r="26">
          <cell r="A26" t="str">
            <v>박성준 이사</v>
          </cell>
          <cell r="C26" t="str">
            <v>더존 SmartA  법인조정 [추가]</v>
          </cell>
        </row>
        <row r="27">
          <cell r="A27" t="str">
            <v>박신혜 과장</v>
          </cell>
          <cell r="C27" t="str">
            <v>더존 SmartA  개인조정 [추가]</v>
          </cell>
        </row>
        <row r="28">
          <cell r="A28" t="str">
            <v>김진영 대리</v>
          </cell>
          <cell r="C28" t="str">
            <v>더존 SmartA  일용직 노무관리 [추가]</v>
          </cell>
        </row>
        <row r="29">
          <cell r="A29" t="str">
            <v>서지수</v>
          </cell>
          <cell r="C29" t="str">
            <v>더존 SmartA  경영관리-R2 [추가]</v>
          </cell>
        </row>
        <row r="30">
          <cell r="C30" t="str">
            <v>============================================</v>
          </cell>
        </row>
        <row r="31">
          <cell r="C31" t="str">
            <v>더존 iCUBE  회계관리</v>
          </cell>
        </row>
        <row r="32">
          <cell r="C32" t="str">
            <v>더존 iCUBE  인사급여</v>
          </cell>
        </row>
        <row r="33">
          <cell r="C33" t="str">
            <v>더존 iCUBE  근태관리</v>
          </cell>
        </row>
        <row r="34">
          <cell r="C34" t="str">
            <v>더존 iCUBE  영업관리</v>
          </cell>
        </row>
        <row r="35">
          <cell r="C35" t="str">
            <v>더존 iCUBE  구매자재</v>
          </cell>
        </row>
        <row r="36">
          <cell r="C36" t="str">
            <v>더존 iCUBE  무역관리</v>
          </cell>
        </row>
        <row r="37">
          <cell r="C37" t="str">
            <v>더존 iCUBE  생산관리</v>
          </cell>
        </row>
        <row r="38">
          <cell r="C38" t="str">
            <v>더존 iCUBE  외주관리</v>
          </cell>
        </row>
        <row r="39">
          <cell r="C39" t="str">
            <v>더존 iCUBE  원가관리</v>
          </cell>
        </row>
        <row r="40">
          <cell r="C40" t="str">
            <v>더존 iCUBE  임가공관리</v>
          </cell>
        </row>
        <row r="41">
          <cell r="C41" t="str">
            <v>더존 iCUBE  의뢰/검사관리</v>
          </cell>
        </row>
        <row r="42">
          <cell r="C42" t="str">
            <v>더존 iCUBE  AS</v>
          </cell>
        </row>
        <row r="43">
          <cell r="C43" t="str">
            <v>더존 iCUBE  경영정보 관리(R2)</v>
          </cell>
        </row>
        <row r="44">
          <cell r="C44" t="str">
            <v>============================================</v>
          </cell>
        </row>
        <row r="45">
          <cell r="C45" t="str">
            <v>더존 iCUBE  금융 CMS 연동</v>
          </cell>
        </row>
        <row r="46">
          <cell r="C46" t="str">
            <v>더존 iCUBE  자동전표처리 (매입매출)</v>
          </cell>
        </row>
        <row r="47">
          <cell r="C47" t="str">
            <v>더존 iCUBE  자동전표처리 (회계관리)</v>
          </cell>
        </row>
        <row r="48">
          <cell r="C48" t="str">
            <v>더존 iCUBE  급여수당 (일괄업로드)</v>
          </cell>
        </row>
        <row r="49">
          <cell r="C49" t="str">
            <v>더존 iCUBE  인사기록카드 (일괄업로드)</v>
          </cell>
        </row>
        <row r="50">
          <cell r="C50" t="str">
            <v>더존 iCUBE  발주 엑셀연동 (구매관리)</v>
          </cell>
        </row>
        <row r="51">
          <cell r="C51" t="str">
            <v>더존 iCUBE  입고 엑셀연동 (구매관리)</v>
          </cell>
        </row>
        <row r="52">
          <cell r="C52" t="str">
            <v>더존 iCUBE  지급 엑셀연동 (구매관리)</v>
          </cell>
        </row>
        <row r="53">
          <cell r="C53" t="str">
            <v>더존 iCUBE  주문 엑셀연동 (영업관리)</v>
          </cell>
        </row>
        <row r="54">
          <cell r="C54" t="str">
            <v>더존 iCUBE  주문(유통) 엑셀연동 (영업관리)</v>
          </cell>
        </row>
        <row r="55">
          <cell r="C55" t="str">
            <v>더존 iCUBE  WEB주문연동</v>
          </cell>
        </row>
        <row r="56">
          <cell r="C56" t="str">
            <v>더존 iCUBE  출고 엑셀연동 (영업관리)</v>
          </cell>
        </row>
        <row r="57">
          <cell r="C57" t="str">
            <v>더존 iCUBE  수금 엑셀연동 (영업관리)</v>
          </cell>
        </row>
        <row r="58">
          <cell r="C58" t="str">
            <v>더존 iCUBE  판매계획 엑셀연동 (영업관리)</v>
          </cell>
        </row>
        <row r="59">
          <cell r="C59" t="str">
            <v>============================================</v>
          </cell>
        </row>
        <row r="60">
          <cell r="C60" t="str">
            <v>더존 건설 iCUBE  공사관리</v>
          </cell>
        </row>
        <row r="61">
          <cell r="C61" t="str">
            <v>더존 건설 iCUBE  자재관리</v>
          </cell>
        </row>
        <row r="62">
          <cell r="C62" t="str">
            <v>더존 건설 iCUBE  영업관리</v>
          </cell>
        </row>
        <row r="63">
          <cell r="C63" t="str">
            <v>더존 건설 iCUBE  분양관리</v>
          </cell>
        </row>
        <row r="64">
          <cell r="C64" t="str">
            <v>============================================</v>
          </cell>
        </row>
        <row r="65">
          <cell r="C65" t="str">
            <v>더존 iCUBE  G20 예산회계</v>
          </cell>
        </row>
        <row r="66">
          <cell r="C66" t="str">
            <v>더존 iCUBE  G20 인사급여</v>
          </cell>
        </row>
        <row r="67">
          <cell r="C67" t="str">
            <v>============================================</v>
          </cell>
        </row>
        <row r="68">
          <cell r="C68" t="str">
            <v>더존 C3 내부회계</v>
          </cell>
        </row>
        <row r="69">
          <cell r="C69" t="str">
            <v>BIZBOX (그룹웨어)</v>
          </cell>
        </row>
        <row r="70">
          <cell r="C70" t="str">
            <v>그린팩스 GF-101 (1ch, 10user)</v>
          </cell>
        </row>
        <row r="71">
          <cell r="C71" t="str">
            <v>그린팩스 GF-102 (2ch, 15user)</v>
          </cell>
        </row>
        <row r="72">
          <cell r="C72" t="str">
            <v>그린팩스 GF-103 (4ch, 20user)</v>
          </cell>
        </row>
        <row r="73">
          <cell r="C73" t="str">
            <v>============================================</v>
          </cell>
        </row>
        <row r="74">
          <cell r="C74" t="str">
            <v>유지보수 (세무회계용)</v>
          </cell>
        </row>
        <row r="75">
          <cell r="C75" t="str">
            <v>유지보수 (재무회계)</v>
          </cell>
        </row>
        <row r="76">
          <cell r="C76" t="str">
            <v>유지보수 (인사급여)</v>
          </cell>
        </row>
        <row r="77">
          <cell r="C77" t="str">
            <v>유지보수(재무)</v>
          </cell>
        </row>
        <row r="78">
          <cell r="C78" t="str">
            <v>유지보수(인사)</v>
          </cell>
        </row>
        <row r="79">
          <cell r="C79" t="str">
            <v>============================================</v>
          </cell>
        </row>
        <row r="80">
          <cell r="C80" t="str">
            <v>더존 공사현장관리</v>
          </cell>
        </row>
        <row r="81">
          <cell r="C81" t="str">
            <v>더존 공사현장관리 [추가]</v>
          </cell>
        </row>
        <row r="85">
          <cell r="C85" t="str">
            <v>SmartA ==============</v>
          </cell>
        </row>
        <row r="86">
          <cell r="C86" t="str">
            <v>s 재무회계</v>
          </cell>
        </row>
        <row r="87">
          <cell r="C87" t="str">
            <v>s 인사급여</v>
          </cell>
        </row>
        <row r="88">
          <cell r="C88" t="str">
            <v>s 물류관리</v>
          </cell>
        </row>
        <row r="89">
          <cell r="C89" t="str">
            <v>s 생산관리</v>
          </cell>
        </row>
        <row r="90">
          <cell r="C90" t="str">
            <v>s 법인조정</v>
          </cell>
        </row>
        <row r="91">
          <cell r="C91" t="str">
            <v>s 개인조정</v>
          </cell>
        </row>
        <row r="92">
          <cell r="C92" t="str">
            <v>s 물류추가</v>
          </cell>
        </row>
        <row r="93">
          <cell r="C93" t="str">
            <v>s 생산추가</v>
          </cell>
        </row>
        <row r="94">
          <cell r="C94" t="str">
            <v>s 세무회계</v>
          </cell>
        </row>
        <row r="96">
          <cell r="C96" t="str">
            <v>ICUBE===============</v>
          </cell>
        </row>
        <row r="97">
          <cell r="C97" t="str">
            <v>c 회계</v>
          </cell>
        </row>
        <row r="98">
          <cell r="C98" t="str">
            <v>c 인사/급여</v>
          </cell>
        </row>
        <row r="99">
          <cell r="C99" t="str">
            <v>c 근태</v>
          </cell>
        </row>
        <row r="100">
          <cell r="C100" t="str">
            <v>c 영업</v>
          </cell>
        </row>
        <row r="101">
          <cell r="C101" t="str">
            <v>c 구매/자재</v>
          </cell>
        </row>
        <row r="102">
          <cell r="C102" t="str">
            <v>c 무역</v>
          </cell>
        </row>
        <row r="103">
          <cell r="C103" t="str">
            <v>c 생산</v>
          </cell>
        </row>
        <row r="104">
          <cell r="C104" t="str">
            <v>c 의뢰검사</v>
          </cell>
        </row>
        <row r="105">
          <cell r="C105" t="str">
            <v>c 외주</v>
          </cell>
        </row>
        <row r="106">
          <cell r="C106" t="str">
            <v>c 원가</v>
          </cell>
        </row>
        <row r="107">
          <cell r="C107" t="str">
            <v>c 임가공</v>
          </cell>
        </row>
        <row r="108">
          <cell r="C108" t="str">
            <v>c 경영정보</v>
          </cell>
        </row>
        <row r="109">
          <cell r="C109" t="str">
            <v>c 규격유통형</v>
          </cell>
        </row>
        <row r="110">
          <cell r="C110" t="str">
            <v>c 규격유통형(수출입관리)</v>
          </cell>
        </row>
        <row r="111">
          <cell r="C111" t="str">
            <v>c 바코드</v>
          </cell>
        </row>
        <row r="112">
          <cell r="C112" t="str">
            <v>c AS</v>
          </cell>
        </row>
        <row r="113">
          <cell r="C113" t="str">
            <v>c 투입지시</v>
          </cell>
        </row>
        <row r="114">
          <cell r="C114" t="str">
            <v>c 금융c MS연동</v>
          </cell>
        </row>
        <row r="115">
          <cell r="C115" t="str">
            <v>c 자동전표처리2</v>
          </cell>
        </row>
        <row r="116">
          <cell r="C116" t="str">
            <v>c 지로통합관리</v>
          </cell>
        </row>
      </sheetData>
      <sheetData sheetId="1" refreshError="1"/>
      <sheetData sheetId="2"/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be_kor"/>
      <sheetName val="cube_chs"/>
      <sheetName val="master"/>
      <sheetName val="구매사양"/>
      <sheetName val="5.세운W-A"/>
      <sheetName val="CAUDIT"/>
      <sheetName val="R&amp;D"/>
    </sheetNames>
    <sheetDataSet>
      <sheetData sheetId="0"/>
      <sheetData sheetId="1"/>
      <sheetData sheetId="2">
        <row r="2">
          <cell r="A2" t="str">
            <v>회계관리</v>
          </cell>
        </row>
      </sheetData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PROFILE 발주실적"/>
      <sheetName val="ALPROFILE 발주실적 (2)"/>
      <sheetName val="28.8부"/>
      <sheetName val="FACTOR"/>
      <sheetName val="CAUDIT"/>
      <sheetName val="SS"/>
      <sheetName val="일위목록"/>
      <sheetName val="요율"/>
      <sheetName val="RD제품개발투자비(매가)"/>
      <sheetName val="전처리"/>
      <sheetName val="품의서(TL)"/>
      <sheetName val="보고"/>
      <sheetName val="ALPROFILE_발주실적"/>
      <sheetName val="ALPROFILE_발주실적_(2)"/>
      <sheetName val="28_8부"/>
      <sheetName val="GRACE"/>
      <sheetName val="7.3 DY팀"/>
      <sheetName val="master"/>
      <sheetName val="영업"/>
      <sheetName val="2.대외공문"/>
    </sheetNames>
    <sheetDataSet>
      <sheetData sheetId="0">
        <row r="1">
          <cell r="A1" t="str">
            <v>TAG.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광택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satMod val="180000"/>
              </a:schemeClr>
            </a:gs>
            <a:gs pos="65000">
              <a:schemeClr val="phClr">
                <a:tint val="32000"/>
                <a:satMod val="250000"/>
              </a:schemeClr>
            </a:gs>
            <a:gs pos="100000">
              <a:schemeClr val="phClr">
                <a:tint val="23000"/>
                <a:satMod val="300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shade val="15000"/>
                <a:satMod val="180000"/>
              </a:schemeClr>
            </a:gs>
            <a:gs pos="50000">
              <a:schemeClr val="phClr">
                <a:shade val="45000"/>
                <a:satMod val="170000"/>
              </a:schemeClr>
            </a:gs>
            <a:gs pos="70000">
              <a:schemeClr val="phClr">
                <a:tint val="99000"/>
                <a:shade val="65000"/>
                <a:satMod val="155000"/>
              </a:schemeClr>
            </a:gs>
            <a:gs pos="100000">
              <a:schemeClr val="phClr">
                <a:tint val="95500"/>
                <a:shade val="100000"/>
                <a:satMod val="15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>
              <a:tint val="95000"/>
              <a:shade val="95000"/>
              <a:satMod val="120000"/>
            </a:schemeClr>
          </a:solidFill>
          <a:prstDash val="solid"/>
        </a:ln>
        <a:ln w="55000" cap="flat" cmpd="thickThin" algn="ctr">
          <a:solidFill>
            <a:schemeClr val="phClr">
              <a:tint val="90000"/>
              <a:satMod val="130000"/>
            </a:schemeClr>
          </a:solidFill>
          <a:prstDash val="solid"/>
        </a:ln>
        <a:ln w="508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6360000"/>
            </a:lightRig>
          </a:scene3d>
          <a:sp3d contourW="1000" prstMaterial="flat">
            <a:bevelT w="95250" h="101600"/>
            <a:contourClr>
              <a:schemeClr val="phClr">
                <a:satMod val="30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79998168889431442"/>
  </sheetPr>
  <dimension ref="C1:AH71"/>
  <sheetViews>
    <sheetView showGridLines="0" showZeros="0" view="pageBreakPreview" topLeftCell="A25" zoomScale="130" zoomScaleNormal="100" zoomScaleSheetLayoutView="130" workbookViewId="0">
      <selection activeCell="G9" sqref="G9:L9"/>
    </sheetView>
  </sheetViews>
  <sheetFormatPr defaultColWidth="3.59765625" defaultRowHeight="16.5" customHeight="1"/>
  <cols>
    <col min="1" max="2" width="1.59765625" style="2" customWidth="1"/>
    <col min="3" max="6" width="3.69921875" style="2" customWidth="1"/>
    <col min="7" max="7" width="5.3984375" style="2" customWidth="1"/>
    <col min="8" max="8" width="3.69921875" style="2" customWidth="1"/>
    <col min="9" max="9" width="5.59765625" style="2" customWidth="1"/>
    <col min="10" max="23" width="3.69921875" style="2" customWidth="1"/>
    <col min="24" max="24" width="3.69921875" customWidth="1"/>
    <col min="25" max="26" width="3.69921875" style="2" customWidth="1"/>
    <col min="27" max="27" width="1.59765625" style="2" customWidth="1"/>
    <col min="28" max="28" width="3.59765625" style="9"/>
    <col min="29" max="29" width="4.19921875" style="2" bestFit="1" customWidth="1"/>
    <col min="30" max="16384" width="3.59765625" style="2"/>
  </cols>
  <sheetData>
    <row r="1" spans="3:34" s="1" customFormat="1" ht="15">
      <c r="AB1" s="9"/>
    </row>
    <row r="2" spans="3:34" s="1" customFormat="1" ht="15">
      <c r="AB2" s="9"/>
    </row>
    <row r="3" spans="3:34" s="1" customFormat="1" ht="5.0999999999999996" customHeight="1">
      <c r="AB3" s="9"/>
    </row>
    <row r="4" spans="3:34" s="1" customFormat="1" ht="20.25" customHeight="1">
      <c r="C4" s="155" t="s">
        <v>218</v>
      </c>
      <c r="D4" s="155"/>
      <c r="E4" s="155"/>
      <c r="F4" s="155"/>
      <c r="G4" s="155"/>
      <c r="H4" s="155"/>
      <c r="I4" s="155"/>
      <c r="J4" s="155"/>
      <c r="K4" s="155"/>
      <c r="L4" s="155"/>
      <c r="M4" s="155"/>
      <c r="N4" s="155"/>
      <c r="O4" s="155"/>
      <c r="P4" s="155"/>
      <c r="Q4" s="155"/>
      <c r="R4" s="155"/>
      <c r="S4" s="155"/>
      <c r="T4" s="155"/>
      <c r="U4" s="155"/>
      <c r="V4" s="155"/>
      <c r="W4" s="155"/>
      <c r="X4" s="155"/>
      <c r="Y4" s="155"/>
      <c r="Z4" s="155"/>
      <c r="AB4" s="9"/>
      <c r="AH4" s="2"/>
    </row>
    <row r="5" spans="3:34" s="1" customFormat="1" ht="8.1" customHeight="1"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AB5" s="9"/>
      <c r="AH5" s="2"/>
    </row>
    <row r="6" spans="3:34" s="1" customFormat="1" ht="15">
      <c r="C6" s="8" t="s">
        <v>14</v>
      </c>
      <c r="W6" s="6"/>
      <c r="AB6" s="9"/>
    </row>
    <row r="7" spans="3:34" ht="16.5" customHeight="1">
      <c r="C7" s="67" t="s">
        <v>15</v>
      </c>
      <c r="D7" s="70" t="s">
        <v>203</v>
      </c>
      <c r="E7" s="70"/>
      <c r="F7" s="70"/>
      <c r="G7" s="88" t="s">
        <v>274</v>
      </c>
      <c r="H7" s="89"/>
      <c r="I7" s="89"/>
      <c r="J7" s="89"/>
      <c r="K7" s="89"/>
      <c r="L7" s="11" t="s">
        <v>71</v>
      </c>
      <c r="Q7" s="67" t="s">
        <v>197</v>
      </c>
      <c r="R7" s="70" t="s">
        <v>229</v>
      </c>
      <c r="S7" s="70"/>
      <c r="T7" s="70"/>
      <c r="U7" s="71" t="s">
        <v>13</v>
      </c>
      <c r="V7" s="71"/>
      <c r="W7" s="71"/>
      <c r="X7" s="71"/>
      <c r="Y7" s="71"/>
      <c r="Z7" s="72"/>
    </row>
    <row r="8" spans="3:34" ht="16.5" customHeight="1">
      <c r="C8" s="68"/>
      <c r="D8" s="59" t="s">
        <v>204</v>
      </c>
      <c r="E8" s="59"/>
      <c r="F8" s="59"/>
      <c r="G8" s="73" t="s">
        <v>70</v>
      </c>
      <c r="H8" s="74"/>
      <c r="I8" s="74"/>
      <c r="J8" s="74"/>
      <c r="K8" s="74"/>
      <c r="L8" s="75"/>
      <c r="Q8" s="68"/>
      <c r="R8" s="59" t="s">
        <v>210</v>
      </c>
      <c r="S8" s="59"/>
      <c r="T8" s="59"/>
      <c r="U8" s="57" t="s">
        <v>199</v>
      </c>
      <c r="V8" s="57"/>
      <c r="W8" s="57"/>
      <c r="X8" s="57"/>
      <c r="Y8" s="57"/>
      <c r="Z8" s="58"/>
    </row>
    <row r="9" spans="3:34" ht="16.5" customHeight="1">
      <c r="C9" s="68"/>
      <c r="D9" s="59" t="s">
        <v>205</v>
      </c>
      <c r="E9" s="59"/>
      <c r="F9" s="59"/>
      <c r="G9" s="60">
        <f ca="1">TODAY()</f>
        <v>46104</v>
      </c>
      <c r="H9" s="60"/>
      <c r="I9" s="60"/>
      <c r="J9" s="60"/>
      <c r="K9" s="60"/>
      <c r="L9" s="61"/>
      <c r="Q9" s="68"/>
      <c r="R9" s="62" t="s">
        <v>124</v>
      </c>
      <c r="S9" s="62"/>
      <c r="T9" s="62"/>
      <c r="U9" s="63" t="s">
        <v>200</v>
      </c>
      <c r="V9" s="63"/>
      <c r="W9" s="63"/>
      <c r="X9" s="63"/>
      <c r="Y9" s="63"/>
      <c r="Z9" s="64"/>
    </row>
    <row r="10" spans="3:34" ht="16.5" customHeight="1">
      <c r="C10" s="68"/>
      <c r="D10" s="59" t="s">
        <v>206</v>
      </c>
      <c r="E10" s="59"/>
      <c r="F10" s="59"/>
      <c r="G10" s="65">
        <f ca="1">G9</f>
        <v>46104</v>
      </c>
      <c r="H10" s="65"/>
      <c r="I10" s="65"/>
      <c r="J10" s="65"/>
      <c r="K10" s="65"/>
      <c r="L10" s="66"/>
      <c r="Q10" s="68"/>
      <c r="R10" s="59" t="s">
        <v>211</v>
      </c>
      <c r="S10" s="59"/>
      <c r="T10" s="59"/>
      <c r="U10" s="60" t="s">
        <v>18</v>
      </c>
      <c r="V10" s="60"/>
      <c r="W10" s="60"/>
      <c r="X10" s="60"/>
      <c r="Y10" s="60"/>
      <c r="Z10" s="61"/>
    </row>
    <row r="11" spans="3:34" ht="16.5" customHeight="1">
      <c r="C11" s="68"/>
      <c r="D11" s="59" t="s">
        <v>207</v>
      </c>
      <c r="E11" s="59"/>
      <c r="F11" s="59"/>
      <c r="G11" s="57" t="s">
        <v>11</v>
      </c>
      <c r="H11" s="57"/>
      <c r="I11" s="57"/>
      <c r="J11" s="57"/>
      <c r="K11" s="57"/>
      <c r="L11" s="58"/>
      <c r="Q11" s="68"/>
      <c r="R11" s="59" t="s">
        <v>212</v>
      </c>
      <c r="S11" s="59"/>
      <c r="T11" s="59"/>
      <c r="U11" s="65" t="s">
        <v>264</v>
      </c>
      <c r="V11" s="65"/>
      <c r="W11" s="65"/>
      <c r="X11" s="65"/>
      <c r="Y11" s="65"/>
      <c r="Z11" s="66"/>
      <c r="AB11" s="9" t="s">
        <v>100</v>
      </c>
    </row>
    <row r="12" spans="3:34" ht="16.5" customHeight="1">
      <c r="C12" s="68"/>
      <c r="D12" s="59" t="s">
        <v>208</v>
      </c>
      <c r="E12" s="59"/>
      <c r="F12" s="59"/>
      <c r="G12" s="57" t="s">
        <v>72</v>
      </c>
      <c r="H12" s="57"/>
      <c r="I12" s="57"/>
      <c r="J12" s="57"/>
      <c r="K12" s="57"/>
      <c r="L12" s="58"/>
      <c r="Q12" s="68"/>
      <c r="R12" s="59" t="s">
        <v>213</v>
      </c>
      <c r="S12" s="59"/>
      <c r="T12" s="59"/>
      <c r="U12" s="57" t="str">
        <f>VLOOKUP(U11,가격표!$B$2:$D$18,2,FALSE)</f>
        <v>010-4903-2311</v>
      </c>
      <c r="V12" s="57"/>
      <c r="W12" s="57"/>
      <c r="X12" s="57"/>
      <c r="Y12" s="57"/>
      <c r="Z12" s="58"/>
    </row>
    <row r="13" spans="3:34" ht="16.5" customHeight="1">
      <c r="C13" s="69"/>
      <c r="D13" s="81" t="s">
        <v>209</v>
      </c>
      <c r="E13" s="81"/>
      <c r="F13" s="81"/>
      <c r="G13" s="82" t="s">
        <v>12</v>
      </c>
      <c r="H13" s="82"/>
      <c r="I13" s="82"/>
      <c r="J13" s="82"/>
      <c r="K13" s="82"/>
      <c r="L13" s="83"/>
      <c r="Q13" s="69"/>
      <c r="R13" s="84" t="s">
        <v>214</v>
      </c>
      <c r="S13" s="84"/>
      <c r="T13" s="84"/>
      <c r="U13" s="85" t="str">
        <f>VLOOKUP(U11,가격표!$B$2:$D$18,3,FALSE)</f>
        <v>nofr2311@douzone.com</v>
      </c>
      <c r="V13" s="85"/>
      <c r="W13" s="85"/>
      <c r="X13" s="85"/>
      <c r="Y13" s="85"/>
      <c r="Z13" s="86"/>
    </row>
    <row r="14" spans="3:34" ht="16.5" customHeight="1">
      <c r="C14" s="2" t="s">
        <v>17</v>
      </c>
      <c r="X14" s="2"/>
    </row>
    <row r="15" spans="3:34" ht="8.1" customHeight="1">
      <c r="Z15" s="7"/>
    </row>
    <row r="16" spans="3:34" ht="20.100000000000001" customHeight="1">
      <c r="C16" s="99" t="s">
        <v>237</v>
      </c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100"/>
      <c r="O16" s="97" t="s">
        <v>216</v>
      </c>
      <c r="P16" s="98"/>
      <c r="Q16" s="98"/>
      <c r="R16" s="105">
        <f>SUM(R54:U55)</f>
        <v>1640000</v>
      </c>
      <c r="S16" s="105"/>
      <c r="T16" s="105"/>
      <c r="U16" s="105"/>
      <c r="V16" s="144"/>
      <c r="W16" s="144"/>
      <c r="X16" s="144"/>
      <c r="Y16" s="144"/>
      <c r="Z16" s="145"/>
    </row>
    <row r="17" spans="3:28" ht="20.100000000000001" customHeight="1">
      <c r="C17" s="101"/>
      <c r="D17" s="102"/>
      <c r="E17" s="102"/>
      <c r="F17" s="102"/>
      <c r="G17" s="102"/>
      <c r="H17" s="102"/>
      <c r="I17" s="102"/>
      <c r="J17" s="102"/>
      <c r="K17" s="102"/>
      <c r="L17" s="102"/>
      <c r="M17" s="102"/>
      <c r="N17" s="102"/>
      <c r="O17" s="103" t="s">
        <v>215</v>
      </c>
      <c r="P17" s="104"/>
      <c r="Q17" s="104"/>
      <c r="R17" s="87">
        <f>R16*1.1</f>
        <v>1804000.0000000002</v>
      </c>
      <c r="S17" s="87"/>
      <c r="T17" s="87"/>
      <c r="U17" s="87"/>
      <c r="V17" s="146"/>
      <c r="W17" s="146"/>
      <c r="X17" s="146"/>
      <c r="Y17" s="146"/>
      <c r="Z17" s="147"/>
    </row>
    <row r="18" spans="3:28" customFormat="1" ht="16.5" customHeight="1"/>
    <row r="19" spans="3:28" ht="16.5" customHeight="1">
      <c r="C19" s="3" t="s">
        <v>234</v>
      </c>
      <c r="H19" s="15" t="s">
        <v>235</v>
      </c>
      <c r="W19" s="7"/>
      <c r="Z19" s="7" t="s">
        <v>19</v>
      </c>
    </row>
    <row r="20" spans="3:28" ht="16.5" customHeight="1">
      <c r="C20" s="76" t="s">
        <v>9</v>
      </c>
      <c r="D20" s="70"/>
      <c r="E20" s="70"/>
      <c r="F20" s="70"/>
      <c r="G20" s="70" t="s">
        <v>220</v>
      </c>
      <c r="H20" s="70"/>
      <c r="I20" s="70"/>
      <c r="J20" s="70" t="s">
        <v>219</v>
      </c>
      <c r="K20" s="70"/>
      <c r="L20" s="70"/>
      <c r="M20" s="14" t="s">
        <v>77</v>
      </c>
      <c r="N20" s="14" t="s">
        <v>78</v>
      </c>
      <c r="O20" s="70" t="s">
        <v>82</v>
      </c>
      <c r="P20" s="70"/>
      <c r="Q20" s="70"/>
      <c r="R20" s="14" t="s">
        <v>81</v>
      </c>
      <c r="S20" s="70" t="s">
        <v>79</v>
      </c>
      <c r="T20" s="70"/>
      <c r="U20" s="70"/>
      <c r="V20" s="77" t="s">
        <v>80</v>
      </c>
      <c r="W20" s="77"/>
      <c r="X20" s="77"/>
      <c r="Y20" s="77"/>
      <c r="Z20" s="78"/>
      <c r="AA20" s="5"/>
      <c r="AB20" s="10"/>
    </row>
    <row r="21" spans="3:28" ht="16.5" customHeight="1">
      <c r="C21" s="49" t="s">
        <v>69</v>
      </c>
      <c r="D21" s="50"/>
      <c r="E21" s="50"/>
      <c r="F21" s="50"/>
      <c r="G21" s="90">
        <v>1500000</v>
      </c>
      <c r="H21" s="90"/>
      <c r="I21" s="90"/>
      <c r="J21" s="90">
        <v>400000</v>
      </c>
      <c r="K21" s="90"/>
      <c r="L21" s="90"/>
      <c r="M21" s="42">
        <v>1</v>
      </c>
      <c r="N21" s="13" t="s">
        <v>88</v>
      </c>
      <c r="O21" s="54">
        <f>IF($M21=0,0,IF($M21&lt;2,$G21,$G21+400000*($M21-1)))</f>
        <v>1500000</v>
      </c>
      <c r="P21" s="54"/>
      <c r="Q21" s="54"/>
      <c r="R21" s="12"/>
      <c r="S21" s="54">
        <f>O21-(O21*R21)</f>
        <v>1500000</v>
      </c>
      <c r="T21" s="54"/>
      <c r="U21" s="54"/>
      <c r="V21" s="55"/>
      <c r="W21" s="79"/>
      <c r="X21" s="79"/>
      <c r="Y21" s="79"/>
      <c r="Z21" s="80"/>
      <c r="AA21" s="5"/>
      <c r="AB21" s="10"/>
    </row>
    <row r="22" spans="3:28" ht="16.5" customHeight="1">
      <c r="C22" s="49" t="s">
        <v>73</v>
      </c>
      <c r="D22" s="50"/>
      <c r="E22" s="50"/>
      <c r="F22" s="50"/>
      <c r="G22" s="90">
        <v>700000</v>
      </c>
      <c r="H22" s="90"/>
      <c r="I22" s="90"/>
      <c r="J22" s="90">
        <v>200000</v>
      </c>
      <c r="K22" s="90"/>
      <c r="L22" s="90"/>
      <c r="M22" s="42"/>
      <c r="N22" s="13" t="s">
        <v>88</v>
      </c>
      <c r="O22" s="54">
        <f>IF($M22=0,0,IF($M22&lt;2,$G22,$G22+200000*($M22-1)))</f>
        <v>0</v>
      </c>
      <c r="P22" s="54"/>
      <c r="Q22" s="54"/>
      <c r="R22" s="12"/>
      <c r="S22" s="54">
        <f t="shared" ref="S22:S26" si="0">O22-(O22*R22)</f>
        <v>0</v>
      </c>
      <c r="T22" s="54"/>
      <c r="U22" s="54"/>
      <c r="V22" s="55"/>
      <c r="W22" s="79"/>
      <c r="X22" s="79"/>
      <c r="Y22" s="79"/>
      <c r="Z22" s="80"/>
      <c r="AA22" s="5"/>
    </row>
    <row r="23" spans="3:28" ht="16.5" customHeight="1">
      <c r="C23" s="49" t="s">
        <v>74</v>
      </c>
      <c r="D23" s="50"/>
      <c r="E23" s="50"/>
      <c r="F23" s="50"/>
      <c r="G23" s="90">
        <v>1200000</v>
      </c>
      <c r="H23" s="90"/>
      <c r="I23" s="90"/>
      <c r="J23" s="90">
        <v>300000</v>
      </c>
      <c r="K23" s="90"/>
      <c r="L23" s="90"/>
      <c r="M23" s="42"/>
      <c r="N23" s="13" t="s">
        <v>88</v>
      </c>
      <c r="O23" s="54">
        <f>IF($M23=0,0,IF($M23&lt;2,$G23,$G23+300000*($M23-1)))</f>
        <v>0</v>
      </c>
      <c r="P23" s="54"/>
      <c r="Q23" s="54"/>
      <c r="R23" s="12"/>
      <c r="S23" s="54">
        <f t="shared" si="0"/>
        <v>0</v>
      </c>
      <c r="T23" s="54"/>
      <c r="U23" s="54"/>
      <c r="V23" s="55"/>
      <c r="W23" s="79"/>
      <c r="X23" s="79"/>
      <c r="Y23" s="79"/>
      <c r="Z23" s="80"/>
      <c r="AA23" s="5"/>
    </row>
    <row r="24" spans="3:28" ht="16.5" customHeight="1">
      <c r="C24" s="49" t="s">
        <v>67</v>
      </c>
      <c r="D24" s="50"/>
      <c r="E24" s="50"/>
      <c r="F24" s="50"/>
      <c r="G24" s="90">
        <v>1000000</v>
      </c>
      <c r="H24" s="90"/>
      <c r="I24" s="90"/>
      <c r="J24" s="90">
        <v>200000</v>
      </c>
      <c r="K24" s="90"/>
      <c r="L24" s="90"/>
      <c r="M24" s="42"/>
      <c r="N24" s="13" t="s">
        <v>88</v>
      </c>
      <c r="O24" s="54">
        <f>IF($M24=0,0,IF($M24&lt;2,$G24,$G24+200000*($M24-1)))</f>
        <v>0</v>
      </c>
      <c r="P24" s="54"/>
      <c r="Q24" s="54"/>
      <c r="R24" s="12"/>
      <c r="S24" s="54">
        <f t="shared" si="0"/>
        <v>0</v>
      </c>
      <c r="T24" s="54"/>
      <c r="U24" s="54"/>
      <c r="V24" s="55"/>
      <c r="W24" s="79"/>
      <c r="X24" s="79"/>
      <c r="Y24" s="79"/>
      <c r="Z24" s="80"/>
      <c r="AA24" s="5"/>
    </row>
    <row r="25" spans="3:28" ht="16.5" customHeight="1">
      <c r="C25" s="49" t="s">
        <v>68</v>
      </c>
      <c r="D25" s="50"/>
      <c r="E25" s="50"/>
      <c r="F25" s="50"/>
      <c r="G25" s="90">
        <v>1000000</v>
      </c>
      <c r="H25" s="90"/>
      <c r="I25" s="90"/>
      <c r="J25" s="90">
        <v>200000</v>
      </c>
      <c r="K25" s="90"/>
      <c r="L25" s="90"/>
      <c r="M25" s="42"/>
      <c r="N25" s="13" t="s">
        <v>88</v>
      </c>
      <c r="O25" s="54">
        <f>IF($M25=0,0,IF($M25&lt;2,$G25,$G25+200000*($M25-1)))</f>
        <v>0</v>
      </c>
      <c r="P25" s="54"/>
      <c r="Q25" s="54"/>
      <c r="R25" s="12"/>
      <c r="S25" s="54">
        <f t="shared" si="0"/>
        <v>0</v>
      </c>
      <c r="T25" s="54"/>
      <c r="U25" s="54"/>
      <c r="V25" s="55"/>
      <c r="W25" s="79"/>
      <c r="X25" s="79"/>
      <c r="Y25" s="79"/>
      <c r="Z25" s="80"/>
      <c r="AA25" s="5"/>
    </row>
    <row r="26" spans="3:28" ht="16.5" customHeight="1">
      <c r="C26" s="49" t="s">
        <v>75</v>
      </c>
      <c r="D26" s="50"/>
      <c r="E26" s="50"/>
      <c r="F26" s="50"/>
      <c r="G26" s="51">
        <v>40000</v>
      </c>
      <c r="H26" s="52"/>
      <c r="I26" s="53"/>
      <c r="J26" s="51">
        <v>40000</v>
      </c>
      <c r="K26" s="52"/>
      <c r="L26" s="53"/>
      <c r="M26" s="42"/>
      <c r="N26" s="13" t="s">
        <v>88</v>
      </c>
      <c r="O26" s="54">
        <f>G26*M26</f>
        <v>0</v>
      </c>
      <c r="P26" s="54"/>
      <c r="Q26" s="54"/>
      <c r="R26" s="12"/>
      <c r="S26" s="54">
        <f t="shared" si="0"/>
        <v>0</v>
      </c>
      <c r="T26" s="54"/>
      <c r="U26" s="54"/>
      <c r="V26" s="55" t="s">
        <v>265</v>
      </c>
      <c r="W26" s="79"/>
      <c r="X26" s="79"/>
      <c r="Y26" s="79"/>
      <c r="Z26" s="80"/>
      <c r="AA26" s="5"/>
    </row>
    <row r="27" spans="3:28" ht="16.5" customHeight="1">
      <c r="C27" s="129" t="s">
        <v>221</v>
      </c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130">
        <f>SUBTOTAL(109,O21:Q26)</f>
        <v>1500000</v>
      </c>
      <c r="P27" s="130"/>
      <c r="Q27" s="130"/>
      <c r="R27" s="40"/>
      <c r="S27" s="130">
        <f>SUBTOTAL(109,S21:U26)</f>
        <v>1500000</v>
      </c>
      <c r="T27" s="130"/>
      <c r="U27" s="130"/>
      <c r="V27" s="94"/>
      <c r="W27" s="94"/>
      <c r="X27" s="94"/>
      <c r="Y27" s="94"/>
      <c r="Z27" s="95"/>
      <c r="AA27" s="5"/>
    </row>
    <row r="29" spans="3:28" ht="16.5" customHeight="1">
      <c r="C29" s="3" t="s">
        <v>230</v>
      </c>
      <c r="H29" s="3" t="s">
        <v>273</v>
      </c>
      <c r="W29" s="7"/>
      <c r="Z29" s="7" t="s">
        <v>19</v>
      </c>
      <c r="AB29" s="9" t="s">
        <v>101</v>
      </c>
    </row>
    <row r="30" spans="3:28" ht="16.5" customHeight="1">
      <c r="C30" s="76" t="s">
        <v>9</v>
      </c>
      <c r="D30" s="70"/>
      <c r="E30" s="70"/>
      <c r="F30" s="70"/>
      <c r="G30" s="70" t="s">
        <v>222</v>
      </c>
      <c r="H30" s="70"/>
      <c r="I30" s="70"/>
      <c r="J30" s="70" t="s">
        <v>223</v>
      </c>
      <c r="K30" s="70"/>
      <c r="L30" s="70"/>
      <c r="M30" s="14" t="s">
        <v>77</v>
      </c>
      <c r="N30" s="14" t="s">
        <v>78</v>
      </c>
      <c r="O30" s="70" t="s">
        <v>82</v>
      </c>
      <c r="P30" s="70"/>
      <c r="Q30" s="70"/>
      <c r="R30" s="14" t="s">
        <v>81</v>
      </c>
      <c r="S30" s="70" t="s">
        <v>79</v>
      </c>
      <c r="T30" s="70"/>
      <c r="U30" s="70"/>
      <c r="V30" s="77" t="s">
        <v>80</v>
      </c>
      <c r="W30" s="77"/>
      <c r="X30" s="77"/>
      <c r="Y30" s="77"/>
      <c r="Z30" s="78"/>
      <c r="AA30" s="5"/>
      <c r="AB30" s="10"/>
    </row>
    <row r="31" spans="3:28" ht="17.55" customHeight="1">
      <c r="C31" s="49" t="s">
        <v>8</v>
      </c>
      <c r="D31" s="50"/>
      <c r="E31" s="50"/>
      <c r="F31" s="50"/>
      <c r="G31" s="90">
        <f>IF(H29="(월납)",140000,1680000)</f>
        <v>140000</v>
      </c>
      <c r="H31" s="90"/>
      <c r="I31" s="90"/>
      <c r="J31" s="90">
        <f>IF(H29="(월납)",30000,360000)</f>
        <v>30000</v>
      </c>
      <c r="K31" s="90"/>
      <c r="L31" s="90"/>
      <c r="M31" s="42">
        <v>1</v>
      </c>
      <c r="N31" s="13" t="s">
        <v>84</v>
      </c>
      <c r="O31" s="54">
        <f>IF($H$29="(월납)",IF(M31="", , IF(M31=1, G31, G31+30000*(M31-1))),IF(M31="", 0, IF(M31=1, G31, G31+360000*(M31-1))))</f>
        <v>140000</v>
      </c>
      <c r="P31" s="54"/>
      <c r="Q31" s="54"/>
      <c r="R31" s="12"/>
      <c r="S31" s="54">
        <f>O31-(O31*R31)</f>
        <v>140000</v>
      </c>
      <c r="T31" s="54"/>
      <c r="U31" s="54"/>
      <c r="V31" s="55"/>
      <c r="W31" s="79"/>
      <c r="X31" s="79"/>
      <c r="Y31" s="79"/>
      <c r="Z31" s="80"/>
      <c r="AA31" s="5"/>
      <c r="AB31" s="10"/>
    </row>
    <row r="32" spans="3:28" ht="19.8" hidden="1" customHeight="1">
      <c r="C32" s="49" t="s">
        <v>267</v>
      </c>
      <c r="D32" s="50"/>
      <c r="E32" s="50"/>
      <c r="F32" s="50"/>
      <c r="G32" s="90">
        <f>IF(H29="(월납)",IF(C32="CLUB 요금제",20000,30000),(IF(C32="CLUB 요금제",20000,30000))*12)</f>
        <v>20000</v>
      </c>
      <c r="H32" s="90"/>
      <c r="I32" s="90"/>
      <c r="J32" s="90">
        <v>0</v>
      </c>
      <c r="K32" s="90"/>
      <c r="L32" s="90"/>
      <c r="M32" s="42"/>
      <c r="N32" s="13" t="s">
        <v>88</v>
      </c>
      <c r="O32" s="54">
        <f>G32*M32</f>
        <v>0</v>
      </c>
      <c r="P32" s="54"/>
      <c r="Q32" s="54"/>
      <c r="R32" s="12">
        <v>1</v>
      </c>
      <c r="S32" s="54">
        <f t="shared" ref="S32:S33" si="1">O32-(O32*R32)</f>
        <v>0</v>
      </c>
      <c r="T32" s="54"/>
      <c r="U32" s="54"/>
      <c r="V32" s="93" t="s">
        <v>270</v>
      </c>
      <c r="W32" s="79"/>
      <c r="X32" s="79"/>
      <c r="Y32" s="79"/>
      <c r="Z32" s="80"/>
      <c r="AA32" s="5"/>
      <c r="AB32" s="9" t="s">
        <v>102</v>
      </c>
    </row>
    <row r="33" spans="3:28" ht="19.8" hidden="1" customHeight="1">
      <c r="C33" s="49" t="str">
        <f>IF(C32="CLUB 요금제", "CLUB 사용료", "PRO 사용료")</f>
        <v>CLUB 사용료</v>
      </c>
      <c r="D33" s="50"/>
      <c r="E33" s="50"/>
      <c r="F33" s="50"/>
      <c r="G33" s="90">
        <f>IF($H$29="(월납)",IF(C33="CLUB 사용료",3000,6000),(IF(C33="CLUB 사용료",3000,6000))*12)</f>
        <v>3000</v>
      </c>
      <c r="H33" s="90"/>
      <c r="I33" s="90"/>
      <c r="J33" s="90">
        <f>IF(C33="CLUB 사용료",3000,6000)*12</f>
        <v>36000</v>
      </c>
      <c r="K33" s="90"/>
      <c r="L33" s="90"/>
      <c r="M33" s="42">
        <v>0</v>
      </c>
      <c r="N33" s="13" t="s">
        <v>88</v>
      </c>
      <c r="O33" s="54">
        <f>G33*M33</f>
        <v>0</v>
      </c>
      <c r="P33" s="54"/>
      <c r="Q33" s="54"/>
      <c r="R33" s="12">
        <v>1</v>
      </c>
      <c r="S33" s="54">
        <f t="shared" si="1"/>
        <v>0</v>
      </c>
      <c r="T33" s="54"/>
      <c r="U33" s="54"/>
      <c r="V33" s="93" t="s">
        <v>270</v>
      </c>
      <c r="W33" s="79"/>
      <c r="X33" s="79"/>
      <c r="Y33" s="79"/>
      <c r="Z33" s="80"/>
      <c r="AA33" s="5"/>
      <c r="AB33" s="9" t="s">
        <v>103</v>
      </c>
    </row>
    <row r="34" spans="3:28" ht="16.5" hidden="1" customHeight="1">
      <c r="C34" s="134" t="s">
        <v>269</v>
      </c>
      <c r="D34" s="135"/>
      <c r="E34" s="135"/>
      <c r="F34" s="135"/>
      <c r="G34" s="136">
        <v>36000</v>
      </c>
      <c r="H34" s="137"/>
      <c r="I34" s="138"/>
      <c r="J34" s="139">
        <v>360000</v>
      </c>
      <c r="K34" s="139"/>
      <c r="L34" s="139"/>
      <c r="M34" s="46"/>
      <c r="N34" s="47" t="s">
        <v>88</v>
      </c>
      <c r="O34" s="140">
        <f>G34*M34</f>
        <v>0</v>
      </c>
      <c r="P34" s="140"/>
      <c r="Q34" s="140"/>
      <c r="R34" s="48"/>
      <c r="S34" s="140">
        <f t="shared" ref="S34" si="2">O34-(O34*R34)</f>
        <v>0</v>
      </c>
      <c r="T34" s="140"/>
      <c r="U34" s="140"/>
      <c r="V34" s="141" t="s">
        <v>272</v>
      </c>
      <c r="W34" s="142"/>
      <c r="X34" s="142"/>
      <c r="Y34" s="142"/>
      <c r="Z34" s="143"/>
      <c r="AA34" s="5"/>
    </row>
    <row r="35" spans="3:28" ht="9" customHeight="1">
      <c r="C35" s="91" t="s">
        <v>89</v>
      </c>
      <c r="D35" s="92"/>
      <c r="E35" s="92"/>
      <c r="F35" s="92"/>
      <c r="G35" s="131" t="s">
        <v>268</v>
      </c>
      <c r="H35" s="132"/>
      <c r="I35" s="132"/>
      <c r="J35" s="132"/>
      <c r="K35" s="132"/>
      <c r="L35" s="132"/>
      <c r="M35" s="132"/>
      <c r="N35" s="132"/>
      <c r="O35" s="132"/>
      <c r="P35" s="132"/>
      <c r="Q35" s="132"/>
      <c r="R35" s="132"/>
      <c r="S35" s="132"/>
      <c r="T35" s="132"/>
      <c r="U35" s="132"/>
      <c r="V35" s="132"/>
      <c r="W35" s="132"/>
      <c r="X35" s="132"/>
      <c r="Y35" s="132"/>
      <c r="Z35" s="133"/>
      <c r="AA35" s="5"/>
    </row>
    <row r="36" spans="3:28" ht="9" customHeight="1">
      <c r="C36" s="91" t="s">
        <v>90</v>
      </c>
      <c r="D36" s="92"/>
      <c r="E36" s="92"/>
      <c r="F36" s="92"/>
      <c r="G36" s="131" t="s">
        <v>266</v>
      </c>
      <c r="H36" s="132"/>
      <c r="I36" s="132"/>
      <c r="J36" s="132"/>
      <c r="K36" s="132"/>
      <c r="L36" s="132"/>
      <c r="M36" s="132"/>
      <c r="N36" s="132"/>
      <c r="O36" s="132"/>
      <c r="P36" s="132"/>
      <c r="Q36" s="132"/>
      <c r="R36" s="132"/>
      <c r="S36" s="132"/>
      <c r="T36" s="132"/>
      <c r="U36" s="132"/>
      <c r="V36" s="132"/>
      <c r="W36" s="132"/>
      <c r="X36" s="132"/>
      <c r="Y36" s="132"/>
      <c r="Z36" s="133"/>
      <c r="AA36" s="5"/>
    </row>
    <row r="37" spans="3:28" ht="16.5" customHeight="1">
      <c r="C37" s="129" t="s">
        <v>224</v>
      </c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130">
        <f>SUBTOTAL(109,O31:Q34)</f>
        <v>140000</v>
      </c>
      <c r="P37" s="130"/>
      <c r="Q37" s="130"/>
      <c r="R37" s="17"/>
      <c r="S37" s="130">
        <f>SUBTOTAL(109,S31:U34)</f>
        <v>140000</v>
      </c>
      <c r="T37" s="130"/>
      <c r="U37" s="130"/>
      <c r="V37" s="94"/>
      <c r="W37" s="94"/>
      <c r="X37" s="94"/>
      <c r="Y37" s="94"/>
      <c r="Z37" s="95"/>
      <c r="AA37" s="5"/>
    </row>
    <row r="39" spans="3:28" ht="16.5" customHeight="1">
      <c r="C39" s="3" t="s">
        <v>231</v>
      </c>
      <c r="H39" s="3" t="str">
        <f>H29</f>
        <v>(월납)</v>
      </c>
      <c r="W39" s="7"/>
      <c r="Z39" s="7" t="s">
        <v>19</v>
      </c>
    </row>
    <row r="40" spans="3:28" ht="16.5" customHeight="1">
      <c r="C40" s="76" t="s">
        <v>9</v>
      </c>
      <c r="D40" s="70"/>
      <c r="E40" s="70"/>
      <c r="F40" s="70"/>
      <c r="G40" s="122" t="s">
        <v>220</v>
      </c>
      <c r="H40" s="123"/>
      <c r="I40" s="124"/>
      <c r="J40" s="122" t="s">
        <v>238</v>
      </c>
      <c r="K40" s="123"/>
      <c r="L40" s="124"/>
      <c r="M40" s="14" t="s">
        <v>77</v>
      </c>
      <c r="N40" s="14" t="s">
        <v>78</v>
      </c>
      <c r="O40" s="70" t="s">
        <v>82</v>
      </c>
      <c r="P40" s="70"/>
      <c r="Q40" s="70"/>
      <c r="R40" s="14" t="s">
        <v>81</v>
      </c>
      <c r="S40" s="70" t="s">
        <v>79</v>
      </c>
      <c r="T40" s="70"/>
      <c r="U40" s="70"/>
      <c r="V40" s="77" t="s">
        <v>80</v>
      </c>
      <c r="W40" s="77"/>
      <c r="X40" s="77"/>
      <c r="Y40" s="77"/>
      <c r="Z40" s="78"/>
      <c r="AA40" s="5"/>
      <c r="AB40" s="10"/>
    </row>
    <row r="41" spans="3:28" ht="16.5" customHeight="1">
      <c r="C41" s="49" t="s">
        <v>20</v>
      </c>
      <c r="D41" s="50"/>
      <c r="E41" s="50"/>
      <c r="F41" s="50"/>
      <c r="G41" s="51">
        <v>250000</v>
      </c>
      <c r="H41" s="52"/>
      <c r="I41" s="53"/>
      <c r="J41" s="51">
        <v>0</v>
      </c>
      <c r="K41" s="52"/>
      <c r="L41" s="53"/>
      <c r="M41" s="42"/>
      <c r="N41" s="13" t="s">
        <v>92</v>
      </c>
      <c r="O41" s="54">
        <f>G41*M41</f>
        <v>0</v>
      </c>
      <c r="P41" s="54"/>
      <c r="Q41" s="54"/>
      <c r="R41" s="12"/>
      <c r="S41" s="54">
        <f>O41-(O41*R41)</f>
        <v>0</v>
      </c>
      <c r="T41" s="54"/>
      <c r="U41" s="54"/>
      <c r="V41" s="55" t="s">
        <v>262</v>
      </c>
      <c r="W41" s="55"/>
      <c r="X41" s="55"/>
      <c r="Y41" s="55"/>
      <c r="Z41" s="56"/>
      <c r="AA41" s="5"/>
    </row>
    <row r="42" spans="3:28" ht="16.5" customHeight="1">
      <c r="C42" s="49" t="s">
        <v>257</v>
      </c>
      <c r="D42" s="50"/>
      <c r="E42" s="50"/>
      <c r="F42" s="50"/>
      <c r="G42" s="51">
        <v>12000</v>
      </c>
      <c r="H42" s="52"/>
      <c r="I42" s="53"/>
      <c r="J42" s="51">
        <v>12000</v>
      </c>
      <c r="K42" s="52"/>
      <c r="L42" s="53"/>
      <c r="M42" s="42"/>
      <c r="N42" s="13" t="s">
        <v>259</v>
      </c>
      <c r="O42" s="54">
        <f t="shared" ref="O42" si="3">G42*M42</f>
        <v>0</v>
      </c>
      <c r="P42" s="54"/>
      <c r="Q42" s="54"/>
      <c r="R42" s="12"/>
      <c r="S42" s="54">
        <f t="shared" ref="S42" si="4">O42-(O42*R42)</f>
        <v>0</v>
      </c>
      <c r="T42" s="54"/>
      <c r="U42" s="54"/>
      <c r="V42" s="55" t="s">
        <v>260</v>
      </c>
      <c r="W42" s="55"/>
      <c r="X42" s="55"/>
      <c r="Y42" s="55"/>
      <c r="Z42" s="56"/>
      <c r="AA42" s="5"/>
    </row>
    <row r="43" spans="3:28" ht="16.5" customHeight="1">
      <c r="C43" s="49" t="s">
        <v>258</v>
      </c>
      <c r="D43" s="50"/>
      <c r="E43" s="50"/>
      <c r="F43" s="50"/>
      <c r="G43" s="51">
        <v>15000</v>
      </c>
      <c r="H43" s="52"/>
      <c r="I43" s="53"/>
      <c r="J43" s="51">
        <v>15000</v>
      </c>
      <c r="K43" s="52"/>
      <c r="L43" s="53"/>
      <c r="M43" s="42"/>
      <c r="N43" s="13" t="s">
        <v>255</v>
      </c>
      <c r="O43" s="54">
        <f t="shared" ref="O43" si="5">G43*M43</f>
        <v>0</v>
      </c>
      <c r="P43" s="54"/>
      <c r="Q43" s="54"/>
      <c r="R43" s="12"/>
      <c r="S43" s="54">
        <f t="shared" ref="S43" si="6">O43-(O43*R43)</f>
        <v>0</v>
      </c>
      <c r="T43" s="54"/>
      <c r="U43" s="54"/>
      <c r="V43" s="55" t="s">
        <v>261</v>
      </c>
      <c r="W43" s="55"/>
      <c r="X43" s="55"/>
      <c r="Y43" s="55"/>
      <c r="Z43" s="56"/>
      <c r="AA43" s="5"/>
    </row>
    <row r="44" spans="3:28" ht="16.5" customHeight="1">
      <c r="C44" s="49" t="s">
        <v>239</v>
      </c>
      <c r="D44" s="50"/>
      <c r="E44" s="50"/>
      <c r="F44" s="50"/>
      <c r="G44" s="51">
        <f>IF(ISBLANK(M44), 0,
   IF(H39="(연납)",
      CHOOSE(MATCH(M44, {50,100,500,1,2,3}, 0), 120000, 180000, 360000, 720000, 1080000, 1440000),
      CHOOSE(MATCH(M44, {50,100,500,1,2,3}, 0), 120000, 180000, 360000, 720000, 1080000, 1440000) / 12))</f>
        <v>0</v>
      </c>
      <c r="H44" s="52"/>
      <c r="I44" s="53"/>
      <c r="J44" s="51">
        <v>0</v>
      </c>
      <c r="K44" s="52"/>
      <c r="L44" s="53"/>
      <c r="M44" s="42"/>
      <c r="N44" s="13" t="str">
        <f>IF(OR(M44=0,M44=50, M44=100, M44=500), "GB", "TB")</f>
        <v>GB</v>
      </c>
      <c r="O44" s="54">
        <f>G44</f>
        <v>0</v>
      </c>
      <c r="P44" s="54"/>
      <c r="Q44" s="54"/>
      <c r="R44" s="12"/>
      <c r="S44" s="54">
        <f t="shared" ref="S44:S50" si="7">O44-(O44*R44)</f>
        <v>0</v>
      </c>
      <c r="T44" s="54"/>
      <c r="U44" s="54"/>
      <c r="V44" s="55" t="s">
        <v>232</v>
      </c>
      <c r="W44" s="55"/>
      <c r="X44" s="55"/>
      <c r="Y44" s="55"/>
      <c r="Z44" s="56"/>
      <c r="AA44" s="5"/>
      <c r="AB44" s="9" t="s">
        <v>251</v>
      </c>
    </row>
    <row r="45" spans="3:28" ht="16.5" customHeight="1">
      <c r="C45" s="49" t="s">
        <v>91</v>
      </c>
      <c r="D45" s="50"/>
      <c r="E45" s="50"/>
      <c r="F45" s="50"/>
      <c r="G45" s="51">
        <f>IF($H$39="(월납)",2000,2000*12)</f>
        <v>2000</v>
      </c>
      <c r="H45" s="52"/>
      <c r="I45" s="53"/>
      <c r="J45" s="51">
        <f>IF($H$39="(월납)",2000,2000*12)</f>
        <v>2000</v>
      </c>
      <c r="K45" s="52"/>
      <c r="L45" s="53"/>
      <c r="M45" s="42"/>
      <c r="N45" s="13" t="s">
        <v>225</v>
      </c>
      <c r="O45" s="54">
        <f t="shared" ref="O45" si="8">G45*M45</f>
        <v>0</v>
      </c>
      <c r="P45" s="54"/>
      <c r="Q45" s="54"/>
      <c r="R45" s="12"/>
      <c r="S45" s="54">
        <f t="shared" si="7"/>
        <v>0</v>
      </c>
      <c r="T45" s="54"/>
      <c r="U45" s="54"/>
      <c r="V45" s="55" t="s">
        <v>233</v>
      </c>
      <c r="W45" s="55"/>
      <c r="X45" s="55"/>
      <c r="Y45" s="55"/>
      <c r="Z45" s="56"/>
      <c r="AA45" s="5"/>
    </row>
    <row r="46" spans="3:28" ht="16.5" customHeight="1">
      <c r="C46" s="49" t="s">
        <v>85</v>
      </c>
      <c r="D46" s="50"/>
      <c r="E46" s="50"/>
      <c r="F46" s="50"/>
      <c r="G46" s="51">
        <f>IF($H$39="(월납)",2000,2000*12)</f>
        <v>2000</v>
      </c>
      <c r="H46" s="52"/>
      <c r="I46" s="53"/>
      <c r="J46" s="51">
        <f>IF($H$39="(월납)",2000,2000*12)</f>
        <v>2000</v>
      </c>
      <c r="K46" s="52"/>
      <c r="L46" s="53"/>
      <c r="M46" s="42"/>
      <c r="N46" s="13" t="s">
        <v>84</v>
      </c>
      <c r="O46" s="54">
        <f>G46*M46</f>
        <v>0</v>
      </c>
      <c r="P46" s="54"/>
      <c r="Q46" s="54"/>
      <c r="R46" s="12"/>
      <c r="S46" s="54">
        <f t="shared" si="7"/>
        <v>0</v>
      </c>
      <c r="T46" s="54"/>
      <c r="U46" s="54"/>
      <c r="V46" s="55"/>
      <c r="W46" s="55"/>
      <c r="X46" s="55"/>
      <c r="Y46" s="55"/>
      <c r="Z46" s="56"/>
      <c r="AA46" s="5"/>
    </row>
    <row r="47" spans="3:28" ht="16.5" customHeight="1">
      <c r="C47" s="49" t="s">
        <v>6</v>
      </c>
      <c r="D47" s="50"/>
      <c r="E47" s="50"/>
      <c r="F47" s="50"/>
      <c r="G47" s="51">
        <f>IF($H$39="(월납)",2000,2000*12)</f>
        <v>2000</v>
      </c>
      <c r="H47" s="52"/>
      <c r="I47" s="53"/>
      <c r="J47" s="51">
        <f>IF($H$39="(월납)",2000,2000*12)</f>
        <v>2000</v>
      </c>
      <c r="K47" s="52"/>
      <c r="L47" s="53"/>
      <c r="M47" s="42">
        <v>0</v>
      </c>
      <c r="N47" s="13" t="s">
        <v>84</v>
      </c>
      <c r="O47" s="54">
        <f>G47*M47</f>
        <v>0</v>
      </c>
      <c r="P47" s="54"/>
      <c r="Q47" s="54"/>
      <c r="R47" s="12"/>
      <c r="S47" s="54">
        <f t="shared" si="7"/>
        <v>0</v>
      </c>
      <c r="T47" s="54"/>
      <c r="U47" s="54"/>
      <c r="V47" s="55" t="s">
        <v>271</v>
      </c>
      <c r="W47" s="55"/>
      <c r="X47" s="55"/>
      <c r="Y47" s="55"/>
      <c r="Z47" s="56"/>
      <c r="AA47" s="5"/>
    </row>
    <row r="48" spans="3:28" ht="16.5" customHeight="1">
      <c r="C48" s="49" t="s">
        <v>7</v>
      </c>
      <c r="D48" s="50"/>
      <c r="E48" s="50"/>
      <c r="F48" s="50"/>
      <c r="G48" s="51">
        <f>IF($H$39="(월납)",2000,2000*12)</f>
        <v>2000</v>
      </c>
      <c r="H48" s="52"/>
      <c r="I48" s="53"/>
      <c r="J48" s="51">
        <f>IF($H$39="(월납)",2000,2000*12)</f>
        <v>2000</v>
      </c>
      <c r="K48" s="52"/>
      <c r="L48" s="53"/>
      <c r="M48" s="42"/>
      <c r="N48" s="13" t="s">
        <v>84</v>
      </c>
      <c r="O48" s="54">
        <f>G48*M48</f>
        <v>0</v>
      </c>
      <c r="P48" s="54"/>
      <c r="Q48" s="54"/>
      <c r="R48" s="12"/>
      <c r="S48" s="54">
        <f t="shared" si="7"/>
        <v>0</v>
      </c>
      <c r="T48" s="54"/>
      <c r="U48" s="54"/>
      <c r="V48" s="55"/>
      <c r="W48" s="55"/>
      <c r="X48" s="55"/>
      <c r="Y48" s="55"/>
      <c r="Z48" s="56"/>
      <c r="AA48" s="5"/>
    </row>
    <row r="49" spans="3:34" ht="16.5" customHeight="1">
      <c r="C49" s="49" t="s">
        <v>86</v>
      </c>
      <c r="D49" s="50"/>
      <c r="E49" s="50"/>
      <c r="F49" s="50"/>
      <c r="G49" s="51">
        <f>IF($H$39="(월납)",10000,10000*12)</f>
        <v>10000</v>
      </c>
      <c r="H49" s="52"/>
      <c r="I49" s="53"/>
      <c r="J49" s="51">
        <f>IF($H$39="(월납)",10000,10000*12)</f>
        <v>10000</v>
      </c>
      <c r="K49" s="52"/>
      <c r="L49" s="53"/>
      <c r="M49" s="43"/>
      <c r="N49" s="13" t="s">
        <v>84</v>
      </c>
      <c r="O49" s="54">
        <f>G49*M49</f>
        <v>0</v>
      </c>
      <c r="P49" s="54"/>
      <c r="Q49" s="54"/>
      <c r="R49" s="12"/>
      <c r="S49" s="54">
        <f t="shared" si="7"/>
        <v>0</v>
      </c>
      <c r="T49" s="54"/>
      <c r="U49" s="54"/>
      <c r="V49" s="55"/>
      <c r="W49" s="55"/>
      <c r="X49" s="55"/>
      <c r="Y49" s="55"/>
      <c r="Z49" s="56"/>
      <c r="AA49" s="5"/>
    </row>
    <row r="50" spans="3:34" ht="16.5" customHeight="1">
      <c r="C50" s="49" t="s">
        <v>87</v>
      </c>
      <c r="D50" s="50"/>
      <c r="E50" s="50"/>
      <c r="F50" s="50"/>
      <c r="G50" s="51">
        <f>IF($H$39="(월납)",10000,10000*12)</f>
        <v>10000</v>
      </c>
      <c r="H50" s="52"/>
      <c r="I50" s="53"/>
      <c r="J50" s="51">
        <f>IF($H$39="(월납)",10000,10000*12)</f>
        <v>10000</v>
      </c>
      <c r="K50" s="52"/>
      <c r="L50" s="53"/>
      <c r="M50" s="42"/>
      <c r="N50" s="13" t="s">
        <v>84</v>
      </c>
      <c r="O50" s="54">
        <f>G50*M50</f>
        <v>0</v>
      </c>
      <c r="P50" s="54"/>
      <c r="Q50" s="54"/>
      <c r="R50" s="12"/>
      <c r="S50" s="54">
        <f t="shared" si="7"/>
        <v>0</v>
      </c>
      <c r="T50" s="54"/>
      <c r="U50" s="54"/>
      <c r="V50" s="55"/>
      <c r="W50" s="55"/>
      <c r="X50" s="55"/>
      <c r="Y50" s="55"/>
      <c r="Z50" s="56"/>
      <c r="AA50" s="5"/>
    </row>
    <row r="51" spans="3:34" ht="16.5" customHeight="1">
      <c r="C51" s="129" t="s">
        <v>228</v>
      </c>
      <c r="D51" s="94"/>
      <c r="E51" s="94"/>
      <c r="F51" s="94"/>
      <c r="G51" s="94"/>
      <c r="H51" s="94"/>
      <c r="I51" s="94"/>
      <c r="J51" s="94"/>
      <c r="K51" s="94"/>
      <c r="L51" s="94"/>
      <c r="M51" s="94"/>
      <c r="N51" s="94"/>
      <c r="O51" s="130">
        <f>SUBTOTAL(109,O41:Q50)</f>
        <v>0</v>
      </c>
      <c r="P51" s="130"/>
      <c r="Q51" s="130"/>
      <c r="R51" s="17"/>
      <c r="S51" s="130">
        <f>SUBTOTAL(109,S41:U50)</f>
        <v>0</v>
      </c>
      <c r="T51" s="130"/>
      <c r="U51" s="130"/>
      <c r="V51" s="94"/>
      <c r="W51" s="94"/>
      <c r="X51" s="94"/>
      <c r="Y51" s="94"/>
      <c r="Z51" s="95"/>
      <c r="AA51" s="5"/>
    </row>
    <row r="52" spans="3:34" customFormat="1" ht="8.1" customHeight="1">
      <c r="AB52" s="1"/>
    </row>
    <row r="53" spans="3:34" ht="16.5" customHeight="1">
      <c r="M53" s="41"/>
      <c r="N53" s="41"/>
      <c r="O53" s="111" t="s">
        <v>96</v>
      </c>
      <c r="P53" s="111"/>
      <c r="Q53" s="111"/>
      <c r="R53" s="16" t="s">
        <v>81</v>
      </c>
      <c r="S53" s="111" t="s">
        <v>97</v>
      </c>
      <c r="T53" s="111"/>
      <c r="U53" s="111"/>
      <c r="V53" s="111" t="s">
        <v>80</v>
      </c>
      <c r="W53" s="111"/>
      <c r="X53" s="111"/>
      <c r="Y53" s="111"/>
      <c r="Z53" s="111"/>
    </row>
    <row r="54" spans="3:34" ht="16.5" customHeight="1">
      <c r="C54" s="157" t="s">
        <v>236</v>
      </c>
      <c r="D54" s="158"/>
      <c r="E54" s="158"/>
      <c r="F54" s="158"/>
      <c r="G54" s="158"/>
      <c r="H54" s="158"/>
      <c r="I54" s="158"/>
      <c r="J54" s="158"/>
      <c r="K54" s="120" t="s">
        <v>93</v>
      </c>
      <c r="L54" s="121"/>
      <c r="M54" s="121" t="s">
        <v>95</v>
      </c>
      <c r="N54" s="121"/>
      <c r="O54" s="156">
        <f>O27</f>
        <v>1500000</v>
      </c>
      <c r="P54" s="156"/>
      <c r="Q54" s="156"/>
      <c r="R54" s="44"/>
      <c r="S54" s="156">
        <f t="shared" ref="S54" si="9">O54-(O54*R54)</f>
        <v>1500000</v>
      </c>
      <c r="T54" s="156"/>
      <c r="U54" s="156"/>
      <c r="V54" s="121"/>
      <c r="W54" s="121"/>
      <c r="X54" s="121"/>
      <c r="Y54" s="121"/>
      <c r="Z54" s="127"/>
    </row>
    <row r="55" spans="3:34" ht="16.5" customHeight="1">
      <c r="C55" s="159"/>
      <c r="D55" s="160"/>
      <c r="E55" s="160"/>
      <c r="F55" s="160"/>
      <c r="G55" s="160"/>
      <c r="H55" s="160"/>
      <c r="I55" s="160"/>
      <c r="J55" s="160"/>
      <c r="K55" s="126" t="s">
        <v>94</v>
      </c>
      <c r="L55" s="113"/>
      <c r="M55" s="113" t="str">
        <f>IF(H29="(연납)", "연납", IF(H29="(월납)", "월납", ""))</f>
        <v>월납</v>
      </c>
      <c r="N55" s="113"/>
      <c r="O55" s="128">
        <f>SUBTOTAL(109,O31:Q34)+SUBTOTAL(109,O41:Q50)</f>
        <v>140000</v>
      </c>
      <c r="P55" s="128"/>
      <c r="Q55" s="128"/>
      <c r="R55" s="45"/>
      <c r="S55" s="128">
        <f>S37+S51</f>
        <v>140000</v>
      </c>
      <c r="T55" s="128"/>
      <c r="U55" s="128"/>
      <c r="V55" s="114" t="s">
        <v>202</v>
      </c>
      <c r="W55" s="115"/>
      <c r="X55" s="115"/>
      <c r="Y55" s="115"/>
      <c r="Z55" s="116"/>
    </row>
    <row r="56" spans="3:34" ht="14.1" customHeight="1">
      <c r="C56" s="117" t="s">
        <v>217</v>
      </c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3:34" ht="14.1" customHeight="1">
      <c r="C57" s="117"/>
      <c r="D57" s="117"/>
      <c r="E57" s="117"/>
      <c r="F57" s="117"/>
      <c r="G57" s="117"/>
      <c r="H57" s="117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3:34" ht="8.1" customHeight="1"/>
    <row r="59" spans="3:34" ht="16.5" customHeight="1">
      <c r="C59" s="3" t="s">
        <v>248</v>
      </c>
      <c r="W59" s="7"/>
      <c r="Z59" s="26" t="s">
        <v>130</v>
      </c>
    </row>
    <row r="60" spans="3:34" ht="16.5" customHeight="1">
      <c r="C60" s="76" t="s">
        <v>114</v>
      </c>
      <c r="D60" s="70"/>
      <c r="E60" s="70"/>
      <c r="F60" s="70"/>
      <c r="G60" s="70"/>
      <c r="H60" s="70"/>
      <c r="I60" s="118"/>
      <c r="J60" s="118"/>
      <c r="K60" s="118"/>
      <c r="L60" s="118"/>
      <c r="M60" s="118"/>
      <c r="N60" s="118"/>
      <c r="O60" s="70" t="s">
        <v>115</v>
      </c>
      <c r="P60" s="70"/>
      <c r="Q60" s="70"/>
      <c r="R60" s="70"/>
      <c r="S60" s="70"/>
      <c r="T60" s="70"/>
      <c r="U60" s="118"/>
      <c r="V60" s="118"/>
      <c r="W60" s="118"/>
      <c r="X60" s="118"/>
      <c r="Y60" s="118"/>
      <c r="Z60" s="119"/>
      <c r="AA60" s="5"/>
    </row>
    <row r="61" spans="3:34" ht="16.5" customHeight="1">
      <c r="C61" s="106" t="s">
        <v>116</v>
      </c>
      <c r="D61" s="59"/>
      <c r="E61" s="59"/>
      <c r="F61" s="59"/>
      <c r="G61" s="59"/>
      <c r="H61" s="59"/>
      <c r="I61" s="148"/>
      <c r="J61" s="149"/>
      <c r="K61" s="149"/>
      <c r="L61" s="149"/>
      <c r="M61" s="149"/>
      <c r="N61" s="150"/>
      <c r="O61" s="59" t="s">
        <v>245</v>
      </c>
      <c r="P61" s="59"/>
      <c r="Q61" s="59"/>
      <c r="R61" s="59"/>
      <c r="S61" s="59"/>
      <c r="T61" s="59"/>
      <c r="U61" s="50" t="s">
        <v>226</v>
      </c>
      <c r="V61" s="50"/>
      <c r="W61" s="148"/>
      <c r="X61" s="150" t="s">
        <v>254</v>
      </c>
      <c r="Y61" s="50"/>
      <c r="Z61" s="107"/>
      <c r="AA61" s="5"/>
    </row>
    <row r="62" spans="3:34" s="9" customFormat="1" ht="16.5" customHeight="1">
      <c r="C62" s="106" t="s">
        <v>117</v>
      </c>
      <c r="D62" s="59"/>
      <c r="E62" s="59"/>
      <c r="F62" s="59"/>
      <c r="G62" s="59"/>
      <c r="H62" s="59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107"/>
      <c r="AA62" s="5"/>
      <c r="AC62" s="2"/>
      <c r="AD62" s="2"/>
      <c r="AE62" s="2"/>
      <c r="AF62" s="2"/>
      <c r="AG62" s="2"/>
      <c r="AH62" s="2"/>
    </row>
    <row r="63" spans="3:34" s="9" customFormat="1" ht="16.5" customHeight="1">
      <c r="C63" s="151" t="s">
        <v>247</v>
      </c>
      <c r="D63" s="152"/>
      <c r="E63" s="152"/>
      <c r="F63" s="152"/>
      <c r="G63" s="152"/>
      <c r="H63" s="152"/>
      <c r="I63" s="50"/>
      <c r="J63" s="50"/>
      <c r="K63" s="50"/>
      <c r="L63" s="50"/>
      <c r="M63" s="50"/>
      <c r="N63" s="50"/>
      <c r="O63" s="59" t="s">
        <v>118</v>
      </c>
      <c r="P63" s="59"/>
      <c r="Q63" s="59"/>
      <c r="R63" s="59"/>
      <c r="S63" s="59"/>
      <c r="T63" s="59"/>
      <c r="U63" s="50"/>
      <c r="V63" s="50"/>
      <c r="W63" s="50"/>
      <c r="X63" s="50"/>
      <c r="Y63" s="50"/>
      <c r="Z63" s="107"/>
      <c r="AA63" s="5"/>
      <c r="AC63" s="2"/>
      <c r="AD63" s="2"/>
      <c r="AE63" s="2"/>
      <c r="AF63" s="2"/>
      <c r="AG63" s="2"/>
      <c r="AH63" s="2"/>
    </row>
    <row r="64" spans="3:34" s="9" customFormat="1" ht="16.5" customHeight="1">
      <c r="C64" s="153"/>
      <c r="D64" s="154"/>
      <c r="E64" s="154"/>
      <c r="F64" s="154"/>
      <c r="G64" s="154"/>
      <c r="H64" s="154"/>
      <c r="I64" s="108"/>
      <c r="J64" s="108"/>
      <c r="K64" s="108"/>
      <c r="L64" s="108"/>
      <c r="M64" s="108"/>
      <c r="N64" s="108"/>
      <c r="O64" s="109" t="s">
        <v>252</v>
      </c>
      <c r="P64" s="109"/>
      <c r="Q64" s="109"/>
      <c r="R64" s="109"/>
      <c r="S64" s="109"/>
      <c r="T64" s="109"/>
      <c r="U64" s="108"/>
      <c r="V64" s="108"/>
      <c r="W64" s="108"/>
      <c r="X64" s="108"/>
      <c r="Y64" s="108"/>
      <c r="Z64" s="110"/>
      <c r="AA64" s="5"/>
      <c r="AC64" s="2"/>
      <c r="AD64" s="2"/>
      <c r="AE64" s="2"/>
      <c r="AF64" s="2"/>
      <c r="AG64" s="2"/>
      <c r="AH64" s="2"/>
    </row>
    <row r="65" spans="3:34" s="9" customFormat="1" ht="16.5" customHeight="1">
      <c r="C65" s="125" t="s">
        <v>119</v>
      </c>
      <c r="D65" s="125"/>
      <c r="E65" s="125"/>
      <c r="F65" s="125"/>
      <c r="G65" s="125"/>
      <c r="H65" s="125"/>
      <c r="I65" s="125"/>
      <c r="J65" s="125"/>
      <c r="K65" s="125"/>
      <c r="L65" s="125"/>
      <c r="M65" s="125"/>
      <c r="N65" s="125"/>
      <c r="O65" s="125"/>
      <c r="P65" s="125"/>
      <c r="Q65" s="125"/>
      <c r="R65" s="125"/>
      <c r="S65" s="125"/>
      <c r="T65" s="125"/>
      <c r="U65" s="125"/>
      <c r="V65" s="125"/>
      <c r="W65" s="125"/>
      <c r="X65" s="125"/>
      <c r="Y65" s="125"/>
      <c r="Z65" s="125"/>
      <c r="AA65" s="2"/>
      <c r="AC65" s="2"/>
      <c r="AD65" s="2"/>
      <c r="AE65" s="2"/>
      <c r="AF65" s="2"/>
      <c r="AG65" s="2"/>
      <c r="AH65" s="2"/>
    </row>
    <row r="66" spans="3:34" s="9" customFormat="1" ht="16.5" customHeight="1"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2"/>
      <c r="T66" s="112">
        <v>2026</v>
      </c>
      <c r="U66" s="112"/>
      <c r="V66" s="5" t="s">
        <v>122</v>
      </c>
      <c r="W66" s="5"/>
      <c r="X66" s="5" t="s">
        <v>121</v>
      </c>
      <c r="Y66" s="5"/>
      <c r="Z66" s="5" t="s">
        <v>120</v>
      </c>
      <c r="AA66" s="2"/>
      <c r="AC66" s="2"/>
      <c r="AD66" s="2"/>
      <c r="AE66" s="2"/>
      <c r="AF66" s="2"/>
      <c r="AG66" s="2"/>
      <c r="AH66" s="2"/>
    </row>
    <row r="67" spans="3:34" s="9" customFormat="1" ht="16.5" customHeight="1"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112" t="s">
        <v>114</v>
      </c>
      <c r="U67" s="112"/>
      <c r="V67" s="5" t="s">
        <v>123</v>
      </c>
      <c r="W67" s="125"/>
      <c r="X67" s="125"/>
      <c r="Y67" s="125"/>
      <c r="Z67" s="125"/>
      <c r="AA67" s="2"/>
      <c r="AC67" s="2"/>
      <c r="AD67" s="2"/>
      <c r="AE67" s="2"/>
      <c r="AF67" s="2"/>
      <c r="AG67" s="2"/>
      <c r="AH67" s="2"/>
    </row>
    <row r="68" spans="3:34" s="9" customFormat="1" ht="16.5" customHeight="1"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112" t="s">
        <v>124</v>
      </c>
      <c r="U68" s="112"/>
      <c r="V68" s="5" t="s">
        <v>123</v>
      </c>
      <c r="W68" s="125"/>
      <c r="X68" s="125"/>
      <c r="Y68" s="125"/>
      <c r="Z68" s="5" t="s">
        <v>125</v>
      </c>
      <c r="AA68" s="2"/>
      <c r="AC68" s="2"/>
      <c r="AD68" s="2"/>
      <c r="AE68" s="2"/>
      <c r="AF68" s="2"/>
      <c r="AG68" s="2"/>
      <c r="AH68" s="2"/>
    </row>
    <row r="69" spans="3:34" s="9" customFormat="1" ht="16.5" customHeight="1"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2"/>
      <c r="AC69" s="2"/>
      <c r="AD69" s="2"/>
      <c r="AE69" s="2"/>
      <c r="AF69" s="2"/>
      <c r="AG69" s="2"/>
      <c r="AH69" s="2"/>
    </row>
    <row r="70" spans="3:34" s="9" customFormat="1" ht="16.5" customHeight="1">
      <c r="C70" s="96" t="s">
        <v>256</v>
      </c>
      <c r="D70" s="96"/>
      <c r="E70" s="96"/>
      <c r="F70" s="96"/>
      <c r="G70" s="96"/>
      <c r="H70" s="96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  <c r="AA70" s="2"/>
      <c r="AC70" s="2"/>
      <c r="AD70" s="2"/>
      <c r="AE70" s="2"/>
      <c r="AF70" s="2"/>
      <c r="AG70" s="2"/>
      <c r="AH70" s="2"/>
    </row>
    <row r="71" spans="3:34" s="9" customFormat="1" ht="8.1" customHeight="1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/>
      <c r="Y71" s="2"/>
      <c r="Z71" s="2"/>
      <c r="AA71" s="2"/>
      <c r="AC71" s="2"/>
      <c r="AD71" s="2"/>
      <c r="AE71" s="2"/>
      <c r="AF71" s="2"/>
      <c r="AG71" s="2"/>
      <c r="AH71" s="2"/>
    </row>
  </sheetData>
  <mergeCells count="231">
    <mergeCell ref="V16:Z16"/>
    <mergeCell ref="V17:Z17"/>
    <mergeCell ref="I61:N61"/>
    <mergeCell ref="U61:W61"/>
    <mergeCell ref="X61:Z61"/>
    <mergeCell ref="C63:H64"/>
    <mergeCell ref="C4:Z4"/>
    <mergeCell ref="J41:L41"/>
    <mergeCell ref="J44:L44"/>
    <mergeCell ref="J45:L45"/>
    <mergeCell ref="J46:L46"/>
    <mergeCell ref="J47:L47"/>
    <mergeCell ref="J48:L48"/>
    <mergeCell ref="J49:L49"/>
    <mergeCell ref="J50:L50"/>
    <mergeCell ref="C51:N51"/>
    <mergeCell ref="O51:Q51"/>
    <mergeCell ref="S51:U51"/>
    <mergeCell ref="S53:U53"/>
    <mergeCell ref="O53:Q53"/>
    <mergeCell ref="S54:U54"/>
    <mergeCell ref="O54:Q54"/>
    <mergeCell ref="C54:J55"/>
    <mergeCell ref="V22:Z22"/>
    <mergeCell ref="C47:F47"/>
    <mergeCell ref="C48:F48"/>
    <mergeCell ref="C22:F22"/>
    <mergeCell ref="V30:Z30"/>
    <mergeCell ref="G31:I31"/>
    <mergeCell ref="J31:L31"/>
    <mergeCell ref="O31:Q31"/>
    <mergeCell ref="S31:U31"/>
    <mergeCell ref="V31:Z31"/>
    <mergeCell ref="O27:Q27"/>
    <mergeCell ref="S27:U27"/>
    <mergeCell ref="G30:I30"/>
    <mergeCell ref="J30:L30"/>
    <mergeCell ref="O30:Q30"/>
    <mergeCell ref="S30:U30"/>
    <mergeCell ref="G22:I22"/>
    <mergeCell ref="G23:I23"/>
    <mergeCell ref="G24:I24"/>
    <mergeCell ref="G25:I25"/>
    <mergeCell ref="G26:I26"/>
    <mergeCell ref="O40:Q40"/>
    <mergeCell ref="S40:U40"/>
    <mergeCell ref="O37:Q37"/>
    <mergeCell ref="C40:F40"/>
    <mergeCell ref="J21:L21"/>
    <mergeCell ref="J22:L22"/>
    <mergeCell ref="O20:Q20"/>
    <mergeCell ref="O21:Q21"/>
    <mergeCell ref="O22:Q22"/>
    <mergeCell ref="O23:Q23"/>
    <mergeCell ref="O24:Q24"/>
    <mergeCell ref="O25:Q25"/>
    <mergeCell ref="S24:U24"/>
    <mergeCell ref="S25:U25"/>
    <mergeCell ref="J24:L24"/>
    <mergeCell ref="J25:L25"/>
    <mergeCell ref="S22:U22"/>
    <mergeCell ref="C24:F24"/>
    <mergeCell ref="C25:F25"/>
    <mergeCell ref="J26:L26"/>
    <mergeCell ref="C27:N27"/>
    <mergeCell ref="O26:Q26"/>
    <mergeCell ref="V24:Z24"/>
    <mergeCell ref="V25:Z25"/>
    <mergeCell ref="S41:U41"/>
    <mergeCell ref="O41:Q41"/>
    <mergeCell ref="S37:U37"/>
    <mergeCell ref="G35:Z35"/>
    <mergeCell ref="C34:F34"/>
    <mergeCell ref="G34:I34"/>
    <mergeCell ref="J34:L34"/>
    <mergeCell ref="O34:Q34"/>
    <mergeCell ref="S34:U34"/>
    <mergeCell ref="V34:Z34"/>
    <mergeCell ref="C36:F36"/>
    <mergeCell ref="G36:Z36"/>
    <mergeCell ref="V37:Z37"/>
    <mergeCell ref="G41:I41"/>
    <mergeCell ref="C37:N37"/>
    <mergeCell ref="G47:I47"/>
    <mergeCell ref="G40:I40"/>
    <mergeCell ref="J40:L40"/>
    <mergeCell ref="G44:I44"/>
    <mergeCell ref="T68:U68"/>
    <mergeCell ref="W68:Y68"/>
    <mergeCell ref="W67:Z67"/>
    <mergeCell ref="C65:Z65"/>
    <mergeCell ref="K55:L55"/>
    <mergeCell ref="V54:Z54"/>
    <mergeCell ref="O61:T61"/>
    <mergeCell ref="V48:Z48"/>
    <mergeCell ref="V49:Z49"/>
    <mergeCell ref="V50:Z50"/>
    <mergeCell ref="G50:I50"/>
    <mergeCell ref="V51:Z51"/>
    <mergeCell ref="G48:I48"/>
    <mergeCell ref="G49:I49"/>
    <mergeCell ref="C49:F49"/>
    <mergeCell ref="C50:F50"/>
    <mergeCell ref="S55:U55"/>
    <mergeCell ref="O55:Q55"/>
    <mergeCell ref="O48:Q48"/>
    <mergeCell ref="O60:T60"/>
    <mergeCell ref="U60:Z60"/>
    <mergeCell ref="T66:U66"/>
    <mergeCell ref="K54:L54"/>
    <mergeCell ref="M54:N54"/>
    <mergeCell ref="S26:U26"/>
    <mergeCell ref="V45:Z45"/>
    <mergeCell ref="V46:Z46"/>
    <mergeCell ref="V47:Z47"/>
    <mergeCell ref="V40:Z40"/>
    <mergeCell ref="S44:U44"/>
    <mergeCell ref="S45:U45"/>
    <mergeCell ref="S46:U46"/>
    <mergeCell ref="S47:U47"/>
    <mergeCell ref="O44:Q44"/>
    <mergeCell ref="O45:Q45"/>
    <mergeCell ref="O46:Q46"/>
    <mergeCell ref="O47:Q47"/>
    <mergeCell ref="S50:U50"/>
    <mergeCell ref="O49:Q49"/>
    <mergeCell ref="O50:Q50"/>
    <mergeCell ref="S48:U48"/>
    <mergeCell ref="S49:U49"/>
    <mergeCell ref="V41:Z41"/>
    <mergeCell ref="V44:Z44"/>
    <mergeCell ref="C70:Z70"/>
    <mergeCell ref="O16:Q16"/>
    <mergeCell ref="C16:N17"/>
    <mergeCell ref="O17:Q17"/>
    <mergeCell ref="R16:U16"/>
    <mergeCell ref="C62:H62"/>
    <mergeCell ref="I62:Z62"/>
    <mergeCell ref="I63:N64"/>
    <mergeCell ref="O63:T63"/>
    <mergeCell ref="U63:Z63"/>
    <mergeCell ref="O64:T64"/>
    <mergeCell ref="U64:Z64"/>
    <mergeCell ref="C61:H61"/>
    <mergeCell ref="V53:Z53"/>
    <mergeCell ref="T67:U67"/>
    <mergeCell ref="M55:N55"/>
    <mergeCell ref="V55:Z55"/>
    <mergeCell ref="C56:Z57"/>
    <mergeCell ref="C60:H60"/>
    <mergeCell ref="C46:F46"/>
    <mergeCell ref="C44:F44"/>
    <mergeCell ref="I60:N60"/>
    <mergeCell ref="G45:I45"/>
    <mergeCell ref="G46:I46"/>
    <mergeCell ref="C45:F45"/>
    <mergeCell ref="C41:F41"/>
    <mergeCell ref="C35:F35"/>
    <mergeCell ref="V23:Z23"/>
    <mergeCell ref="S23:U23"/>
    <mergeCell ref="J23:L23"/>
    <mergeCell ref="C32:F32"/>
    <mergeCell ref="C33:F33"/>
    <mergeCell ref="G33:I33"/>
    <mergeCell ref="J33:L33"/>
    <mergeCell ref="O33:Q33"/>
    <mergeCell ref="S33:U33"/>
    <mergeCell ref="V33:Z33"/>
    <mergeCell ref="G32:I32"/>
    <mergeCell ref="J32:L32"/>
    <mergeCell ref="O32:Q32"/>
    <mergeCell ref="S32:U32"/>
    <mergeCell ref="V32:Z32"/>
    <mergeCell ref="C30:F30"/>
    <mergeCell ref="C31:F31"/>
    <mergeCell ref="C26:F26"/>
    <mergeCell ref="C23:F23"/>
    <mergeCell ref="V26:Z26"/>
    <mergeCell ref="V27:Z27"/>
    <mergeCell ref="C20:F20"/>
    <mergeCell ref="V20:Z20"/>
    <mergeCell ref="C21:F21"/>
    <mergeCell ref="V21:Z21"/>
    <mergeCell ref="D13:F13"/>
    <mergeCell ref="G13:L13"/>
    <mergeCell ref="R13:T13"/>
    <mergeCell ref="U13:Z13"/>
    <mergeCell ref="R17:U17"/>
    <mergeCell ref="C7:C13"/>
    <mergeCell ref="D7:F7"/>
    <mergeCell ref="G7:K7"/>
    <mergeCell ref="S20:U20"/>
    <mergeCell ref="S21:U21"/>
    <mergeCell ref="G20:I20"/>
    <mergeCell ref="J20:L20"/>
    <mergeCell ref="G21:I21"/>
    <mergeCell ref="D11:F11"/>
    <mergeCell ref="G11:L11"/>
    <mergeCell ref="R11:T11"/>
    <mergeCell ref="U11:Z11"/>
    <mergeCell ref="D12:F12"/>
    <mergeCell ref="G12:L12"/>
    <mergeCell ref="R12:T12"/>
    <mergeCell ref="U12:Z12"/>
    <mergeCell ref="U8:Z8"/>
    <mergeCell ref="D9:F9"/>
    <mergeCell ref="G9:L9"/>
    <mergeCell ref="R9:T9"/>
    <mergeCell ref="U9:Z9"/>
    <mergeCell ref="D10:F10"/>
    <mergeCell ref="G10:L10"/>
    <mergeCell ref="R10:T10"/>
    <mergeCell ref="U10:Z10"/>
    <mergeCell ref="Q7:Q13"/>
    <mergeCell ref="R7:T7"/>
    <mergeCell ref="U7:Z7"/>
    <mergeCell ref="D8:F8"/>
    <mergeCell ref="G8:L8"/>
    <mergeCell ref="R8:T8"/>
    <mergeCell ref="C43:F43"/>
    <mergeCell ref="G43:I43"/>
    <mergeCell ref="J43:L43"/>
    <mergeCell ref="O43:Q43"/>
    <mergeCell ref="S43:U43"/>
    <mergeCell ref="V43:Z43"/>
    <mergeCell ref="C42:F42"/>
    <mergeCell ref="G42:I42"/>
    <mergeCell ref="J42:L42"/>
    <mergeCell ref="O42:Q42"/>
    <mergeCell ref="S42:U42"/>
    <mergeCell ref="V42:Z42"/>
  </mergeCells>
  <phoneticPr fontId="3" type="noConversion"/>
  <dataValidations count="5">
    <dataValidation type="list" allowBlank="1" showInputMessage="1" showErrorMessage="1" sqref="C33:F33">
      <formula1>"CLUB 사용료, PRO 사용료"</formula1>
    </dataValidation>
    <dataValidation type="list" allowBlank="1" showInputMessage="1" showErrorMessage="1" sqref="C32:F32">
      <formula1>"CLUB 요금제, PRO 요금제"</formula1>
    </dataValidation>
    <dataValidation type="list" allowBlank="1" showInputMessage="1" showErrorMessage="1" sqref="H29 H39">
      <formula1>"(월납), (연납)"</formula1>
    </dataValidation>
    <dataValidation type="list" allowBlank="1" showInputMessage="1" showErrorMessage="1" sqref="N44">
      <formula1>"GB, TB"</formula1>
    </dataValidation>
    <dataValidation type="list" allowBlank="1" showInputMessage="1" showErrorMessage="1" sqref="M44">
      <formula1>"50, 100, 500, 1, 2, 3"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67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가격표!$B$2:$B$18</xm:f>
          </x14:formula1>
          <xm:sqref>U11:Z11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theme="4" tint="0.79998168889431442"/>
  </sheetPr>
  <dimension ref="C1:AH52"/>
  <sheetViews>
    <sheetView showZeros="0" view="pageBreakPreview" zoomScale="145" zoomScaleNormal="100" zoomScaleSheetLayoutView="145" workbookViewId="0">
      <selection activeCell="AG49" sqref="AG49"/>
    </sheetView>
  </sheetViews>
  <sheetFormatPr defaultColWidth="3.59765625" defaultRowHeight="16.5" customHeight="1"/>
  <cols>
    <col min="1" max="2" width="1.59765625" style="2" customWidth="1"/>
    <col min="3" max="23" width="3.59765625" style="2"/>
    <col min="25" max="26" width="3.59765625" style="2"/>
    <col min="27" max="27" width="1.59765625" style="2" customWidth="1"/>
    <col min="28" max="28" width="3.59765625" style="9"/>
    <col min="29" max="16384" width="3.59765625" style="2"/>
  </cols>
  <sheetData>
    <row r="1" spans="3:34" s="1" customFormat="1" ht="15">
      <c r="AB1" s="9"/>
    </row>
    <row r="2" spans="3:34" s="1" customFormat="1" ht="15">
      <c r="AB2" s="9"/>
    </row>
    <row r="3" spans="3:34" s="1" customFormat="1" ht="5.0999999999999996" customHeight="1">
      <c r="AB3" s="9"/>
    </row>
    <row r="4" spans="3:34" s="1" customFormat="1" ht="20.25" customHeight="1">
      <c r="C4" s="155" t="s">
        <v>241</v>
      </c>
      <c r="D4" s="155"/>
      <c r="E4" s="155"/>
      <c r="F4" s="155"/>
      <c r="G4" s="155"/>
      <c r="H4" s="155"/>
      <c r="I4" s="155"/>
      <c r="J4" s="155"/>
      <c r="K4" s="155"/>
      <c r="L4" s="155"/>
      <c r="M4" s="155"/>
      <c r="N4" s="155"/>
      <c r="O4" s="155"/>
      <c r="P4" s="155"/>
      <c r="Q4" s="155"/>
      <c r="R4" s="155"/>
      <c r="S4" s="155"/>
      <c r="T4" s="155"/>
      <c r="U4" s="155"/>
      <c r="V4" s="155"/>
      <c r="W4" s="155"/>
      <c r="X4" s="155"/>
      <c r="Y4" s="155"/>
      <c r="Z4" s="155"/>
      <c r="AB4" s="9"/>
      <c r="AH4" s="2"/>
    </row>
    <row r="5" spans="3:34" s="1" customFormat="1" ht="5.0999999999999996" customHeight="1"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AB5" s="9"/>
      <c r="AH5" s="2"/>
    </row>
    <row r="6" spans="3:34" s="1" customFormat="1" ht="15">
      <c r="C6" s="8" t="s">
        <v>14</v>
      </c>
      <c r="W6" s="6"/>
      <c r="AB6" s="9"/>
    </row>
    <row r="7" spans="3:34" ht="16.5" customHeight="1">
      <c r="C7" s="67" t="s">
        <v>15</v>
      </c>
      <c r="D7" s="70" t="s">
        <v>203</v>
      </c>
      <c r="E7" s="70"/>
      <c r="F7" s="70"/>
      <c r="G7" s="88"/>
      <c r="H7" s="89"/>
      <c r="I7" s="89"/>
      <c r="J7" s="89"/>
      <c r="K7" s="89"/>
      <c r="L7" s="11" t="s">
        <v>71</v>
      </c>
      <c r="Q7" s="67" t="s">
        <v>197</v>
      </c>
      <c r="R7" s="70" t="s">
        <v>229</v>
      </c>
      <c r="S7" s="70"/>
      <c r="T7" s="70"/>
      <c r="U7" s="71" t="s">
        <v>13</v>
      </c>
      <c r="V7" s="71"/>
      <c r="W7" s="71"/>
      <c r="X7" s="71"/>
      <c r="Y7" s="71"/>
      <c r="Z7" s="72"/>
    </row>
    <row r="8" spans="3:34" ht="16.5" customHeight="1">
      <c r="C8" s="68"/>
      <c r="D8" s="59" t="s">
        <v>204</v>
      </c>
      <c r="E8" s="59"/>
      <c r="F8" s="59"/>
      <c r="G8" s="73" t="s">
        <v>131</v>
      </c>
      <c r="H8" s="74"/>
      <c r="I8" s="74"/>
      <c r="J8" s="74"/>
      <c r="K8" s="74"/>
      <c r="L8" s="75"/>
      <c r="Q8" s="68"/>
      <c r="R8" s="59" t="s">
        <v>210</v>
      </c>
      <c r="S8" s="59"/>
      <c r="T8" s="59"/>
      <c r="U8" s="57" t="s">
        <v>10</v>
      </c>
      <c r="V8" s="57"/>
      <c r="W8" s="57"/>
      <c r="X8" s="57"/>
      <c r="Y8" s="57"/>
      <c r="Z8" s="58"/>
    </row>
    <row r="9" spans="3:34" ht="16.5" customHeight="1">
      <c r="C9" s="68"/>
      <c r="D9" s="59" t="s">
        <v>205</v>
      </c>
      <c r="E9" s="59"/>
      <c r="F9" s="59"/>
      <c r="G9" s="60">
        <f ca="1">TODAY()</f>
        <v>46104</v>
      </c>
      <c r="H9" s="60"/>
      <c r="I9" s="60"/>
      <c r="J9" s="60"/>
      <c r="K9" s="60"/>
      <c r="L9" s="61"/>
      <c r="Q9" s="68"/>
      <c r="R9" s="62" t="s">
        <v>124</v>
      </c>
      <c r="S9" s="62"/>
      <c r="T9" s="62"/>
      <c r="U9" s="63" t="s">
        <v>16</v>
      </c>
      <c r="V9" s="63"/>
      <c r="W9" s="63"/>
      <c r="X9" s="63"/>
      <c r="Y9" s="63"/>
      <c r="Z9" s="64"/>
    </row>
    <row r="10" spans="3:34" ht="16.5" customHeight="1">
      <c r="C10" s="68"/>
      <c r="D10" s="59" t="s">
        <v>206</v>
      </c>
      <c r="E10" s="59"/>
      <c r="F10" s="59"/>
      <c r="G10" s="65">
        <f ca="1">G9</f>
        <v>46104</v>
      </c>
      <c r="H10" s="65"/>
      <c r="I10" s="65"/>
      <c r="J10" s="65"/>
      <c r="K10" s="65"/>
      <c r="L10" s="66"/>
      <c r="Q10" s="68"/>
      <c r="R10" s="59" t="s">
        <v>211</v>
      </c>
      <c r="S10" s="59"/>
      <c r="T10" s="59"/>
      <c r="U10" s="60" t="s">
        <v>18</v>
      </c>
      <c r="V10" s="60"/>
      <c r="W10" s="60"/>
      <c r="X10" s="60"/>
      <c r="Y10" s="60"/>
      <c r="Z10" s="61"/>
    </row>
    <row r="11" spans="3:34" ht="16.5" customHeight="1">
      <c r="C11" s="68"/>
      <c r="D11" s="59" t="s">
        <v>207</v>
      </c>
      <c r="E11" s="59"/>
      <c r="F11" s="59"/>
      <c r="G11" s="57" t="s">
        <v>11</v>
      </c>
      <c r="H11" s="57"/>
      <c r="I11" s="57"/>
      <c r="J11" s="57"/>
      <c r="K11" s="57"/>
      <c r="L11" s="58"/>
      <c r="Q11" s="68"/>
      <c r="R11" s="59" t="s">
        <v>212</v>
      </c>
      <c r="S11" s="59"/>
      <c r="T11" s="59"/>
      <c r="U11" s="65" t="s">
        <v>47</v>
      </c>
      <c r="V11" s="65"/>
      <c r="W11" s="65"/>
      <c r="X11" s="65"/>
      <c r="Y11" s="65"/>
      <c r="Z11" s="66"/>
      <c r="AB11" s="9" t="s">
        <v>100</v>
      </c>
    </row>
    <row r="12" spans="3:34" ht="16.5" customHeight="1">
      <c r="C12" s="68"/>
      <c r="D12" s="59" t="s">
        <v>208</v>
      </c>
      <c r="E12" s="59"/>
      <c r="F12" s="59"/>
      <c r="G12" s="57" t="s">
        <v>72</v>
      </c>
      <c r="H12" s="57"/>
      <c r="I12" s="57"/>
      <c r="J12" s="57"/>
      <c r="K12" s="57"/>
      <c r="L12" s="58"/>
      <c r="Q12" s="68"/>
      <c r="R12" s="59" t="s">
        <v>213</v>
      </c>
      <c r="S12" s="59"/>
      <c r="T12" s="59"/>
      <c r="U12" s="57" t="str">
        <f>VLOOKUP(U11,가격표!$B$2:$D$18,2,FALSE)</f>
        <v>010-7572-9830</v>
      </c>
      <c r="V12" s="57"/>
      <c r="W12" s="57"/>
      <c r="X12" s="57"/>
      <c r="Y12" s="57"/>
      <c r="Z12" s="58"/>
    </row>
    <row r="13" spans="3:34" ht="16.5" customHeight="1">
      <c r="C13" s="69"/>
      <c r="D13" s="81" t="s">
        <v>209</v>
      </c>
      <c r="E13" s="81"/>
      <c r="F13" s="81"/>
      <c r="G13" s="82" t="s">
        <v>12</v>
      </c>
      <c r="H13" s="82"/>
      <c r="I13" s="82"/>
      <c r="J13" s="82"/>
      <c r="K13" s="82"/>
      <c r="L13" s="83"/>
      <c r="Q13" s="69"/>
      <c r="R13" s="84" t="s">
        <v>214</v>
      </c>
      <c r="S13" s="84"/>
      <c r="T13" s="84"/>
      <c r="U13" s="85" t="str">
        <f>VLOOKUP(U11,가격표!$B$2:$D$18,3,FALSE)</f>
        <v>chj9808@douzone.com</v>
      </c>
      <c r="V13" s="85"/>
      <c r="W13" s="85"/>
      <c r="X13" s="85"/>
      <c r="Y13" s="85"/>
      <c r="Z13" s="86"/>
    </row>
    <row r="14" spans="3:34" ht="16.5" customHeight="1">
      <c r="C14" s="2" t="s">
        <v>17</v>
      </c>
    </row>
    <row r="15" spans="3:34" ht="8.1" customHeight="1"/>
    <row r="16" spans="3:34" ht="16.5" customHeight="1">
      <c r="C16" s="3" t="s">
        <v>132</v>
      </c>
      <c r="H16" s="15"/>
      <c r="W16" s="7"/>
      <c r="Z16" s="7" t="s">
        <v>19</v>
      </c>
    </row>
    <row r="17" spans="3:28" ht="16.5" customHeight="1">
      <c r="C17" s="76" t="s">
        <v>109</v>
      </c>
      <c r="D17" s="70"/>
      <c r="E17" s="70" t="s">
        <v>9</v>
      </c>
      <c r="F17" s="70"/>
      <c r="G17" s="70" t="s">
        <v>104</v>
      </c>
      <c r="H17" s="70"/>
      <c r="I17" s="70"/>
      <c r="J17" s="70"/>
      <c r="K17" s="70"/>
      <c r="L17" s="70" t="s">
        <v>76</v>
      </c>
      <c r="M17" s="70"/>
      <c r="N17" s="70"/>
      <c r="O17" s="70"/>
      <c r="P17" s="14" t="s">
        <v>77</v>
      </c>
      <c r="Q17" s="14" t="s">
        <v>78</v>
      </c>
      <c r="R17" s="70" t="s">
        <v>107</v>
      </c>
      <c r="S17" s="70"/>
      <c r="T17" s="70"/>
      <c r="U17" s="70"/>
      <c r="V17" s="77" t="s">
        <v>80</v>
      </c>
      <c r="W17" s="77"/>
      <c r="X17" s="77"/>
      <c r="Y17" s="77"/>
      <c r="Z17" s="78"/>
      <c r="AA17" s="5"/>
      <c r="AB17" s="10"/>
    </row>
    <row r="18" spans="3:28" ht="16.5" customHeight="1">
      <c r="C18" s="175" t="s">
        <v>98</v>
      </c>
      <c r="D18" s="165"/>
      <c r="E18" s="167" t="s">
        <v>134</v>
      </c>
      <c r="F18" s="50"/>
      <c r="G18" s="50" t="s">
        <v>135</v>
      </c>
      <c r="H18" s="50"/>
      <c r="I18" s="50"/>
      <c r="J18" s="50"/>
      <c r="K18" s="50"/>
      <c r="L18" s="90">
        <v>1450000</v>
      </c>
      <c r="M18" s="90"/>
      <c r="N18" s="90"/>
      <c r="O18" s="90"/>
      <c r="P18" s="13">
        <v>1</v>
      </c>
      <c r="Q18" s="13" t="s">
        <v>83</v>
      </c>
      <c r="R18" s="54">
        <f>L18</f>
        <v>1450000</v>
      </c>
      <c r="S18" s="54"/>
      <c r="T18" s="54"/>
      <c r="U18" s="54"/>
      <c r="V18" s="195" t="str">
        <f>IF(L18=1450000, "- ONE AI 1개월 포함", "")</f>
        <v>- ONE AI 1개월 포함</v>
      </c>
      <c r="W18" s="198"/>
      <c r="X18" s="198"/>
      <c r="Y18" s="198"/>
      <c r="Z18" s="199"/>
      <c r="AA18" s="5"/>
      <c r="AB18" s="9" t="s">
        <v>244</v>
      </c>
    </row>
    <row r="19" spans="3:28" ht="16.5" customHeight="1">
      <c r="C19" s="176"/>
      <c r="D19" s="177"/>
      <c r="E19" s="50"/>
      <c r="F19" s="50"/>
      <c r="G19" s="50" t="s">
        <v>136</v>
      </c>
      <c r="H19" s="50"/>
      <c r="I19" s="50"/>
      <c r="J19" s="50"/>
      <c r="K19" s="50"/>
      <c r="L19" s="90">
        <v>60000</v>
      </c>
      <c r="M19" s="90"/>
      <c r="N19" s="90"/>
      <c r="O19" s="90"/>
      <c r="P19" s="13">
        <v>5</v>
      </c>
      <c r="Q19" s="13" t="s">
        <v>139</v>
      </c>
      <c r="R19" s="54">
        <f>IF(P19&lt;6,0,L19*(P19-5))</f>
        <v>0</v>
      </c>
      <c r="S19" s="54"/>
      <c r="T19" s="54"/>
      <c r="U19" s="54"/>
      <c r="V19" s="195" t="s">
        <v>242</v>
      </c>
      <c r="W19" s="198"/>
      <c r="X19" s="198"/>
      <c r="Y19" s="198"/>
      <c r="Z19" s="199"/>
      <c r="AA19" s="5"/>
    </row>
    <row r="20" spans="3:28" ht="16.5" customHeight="1">
      <c r="C20" s="178"/>
      <c r="D20" s="179"/>
      <c r="E20" s="50"/>
      <c r="F20" s="50"/>
      <c r="G20" s="168" t="s">
        <v>137</v>
      </c>
      <c r="H20" s="168"/>
      <c r="I20" s="168"/>
      <c r="J20" s="168"/>
      <c r="K20" s="168"/>
      <c r="L20" s="90">
        <v>600000</v>
      </c>
      <c r="M20" s="90"/>
      <c r="N20" s="90"/>
      <c r="O20" s="90"/>
      <c r="P20" s="13"/>
      <c r="Q20" s="13" t="s">
        <v>83</v>
      </c>
      <c r="R20" s="54">
        <f>L20*P20</f>
        <v>0</v>
      </c>
      <c r="S20" s="54"/>
      <c r="T20" s="54"/>
      <c r="U20" s="54"/>
      <c r="V20" s="195" t="s">
        <v>240</v>
      </c>
      <c r="W20" s="195"/>
      <c r="X20" s="195"/>
      <c r="Y20" s="195"/>
      <c r="Z20" s="196"/>
      <c r="AA20" s="5"/>
    </row>
    <row r="21" spans="3:28" ht="16.5" customHeight="1">
      <c r="C21" s="181" t="s">
        <v>143</v>
      </c>
      <c r="D21" s="150"/>
      <c r="E21" s="148" t="s">
        <v>144</v>
      </c>
      <c r="F21" s="150"/>
      <c r="G21" s="182" t="s">
        <v>198</v>
      </c>
      <c r="H21" s="183"/>
      <c r="I21" s="183"/>
      <c r="J21" s="183"/>
      <c r="K21" s="184"/>
      <c r="L21" s="51">
        <v>250000</v>
      </c>
      <c r="M21" s="52"/>
      <c r="N21" s="52"/>
      <c r="O21" s="53"/>
      <c r="P21" s="13"/>
      <c r="Q21" s="13" t="s">
        <v>201</v>
      </c>
      <c r="R21" s="169">
        <f>L21*P21</f>
        <v>0</v>
      </c>
      <c r="S21" s="170"/>
      <c r="T21" s="170"/>
      <c r="U21" s="171"/>
      <c r="V21" s="172" t="s">
        <v>243</v>
      </c>
      <c r="W21" s="173"/>
      <c r="X21" s="173"/>
      <c r="Y21" s="173"/>
      <c r="Z21" s="174"/>
      <c r="AA21" s="5"/>
    </row>
    <row r="22" spans="3:28" ht="16.5" customHeight="1">
      <c r="C22" s="180" t="s">
        <v>145</v>
      </c>
      <c r="D22" s="165"/>
      <c r="E22" s="167" t="s">
        <v>133</v>
      </c>
      <c r="F22" s="167"/>
      <c r="G22" s="168" t="s">
        <v>105</v>
      </c>
      <c r="H22" s="168"/>
      <c r="I22" s="168"/>
      <c r="J22" s="168"/>
      <c r="K22" s="168"/>
      <c r="L22" s="90">
        <v>0</v>
      </c>
      <c r="M22" s="90"/>
      <c r="N22" s="90"/>
      <c r="O22" s="90"/>
      <c r="P22" s="19" t="s">
        <v>111</v>
      </c>
      <c r="Q22" s="13" t="s">
        <v>110</v>
      </c>
      <c r="R22" s="54">
        <v>0</v>
      </c>
      <c r="S22" s="54"/>
      <c r="T22" s="54"/>
      <c r="U22" s="54"/>
      <c r="V22" s="195"/>
      <c r="W22" s="198"/>
      <c r="X22" s="198"/>
      <c r="Y22" s="198"/>
      <c r="Z22" s="199"/>
      <c r="AA22" s="5"/>
    </row>
    <row r="23" spans="3:28" ht="16.5" customHeight="1">
      <c r="C23" s="176"/>
      <c r="D23" s="177"/>
      <c r="E23" s="167"/>
      <c r="F23" s="167"/>
      <c r="G23" s="168" t="s">
        <v>106</v>
      </c>
      <c r="H23" s="168"/>
      <c r="I23" s="168"/>
      <c r="J23" s="168"/>
      <c r="K23" s="168"/>
      <c r="L23" s="90">
        <v>0</v>
      </c>
      <c r="M23" s="90"/>
      <c r="N23" s="90"/>
      <c r="O23" s="90"/>
      <c r="P23" s="19" t="s">
        <v>112</v>
      </c>
      <c r="Q23" s="13" t="s">
        <v>113</v>
      </c>
      <c r="R23" s="54">
        <v>0</v>
      </c>
      <c r="S23" s="54"/>
      <c r="T23" s="54"/>
      <c r="U23" s="54"/>
      <c r="V23" s="195"/>
      <c r="W23" s="198"/>
      <c r="X23" s="198"/>
      <c r="Y23" s="198"/>
      <c r="Z23" s="199"/>
      <c r="AA23" s="5"/>
    </row>
    <row r="24" spans="3:28" ht="16.5" customHeight="1">
      <c r="C24" s="176"/>
      <c r="D24" s="177"/>
      <c r="E24" s="167"/>
      <c r="F24" s="167"/>
      <c r="G24" s="168" t="s">
        <v>108</v>
      </c>
      <c r="H24" s="168"/>
      <c r="I24" s="168"/>
      <c r="J24" s="168"/>
      <c r="K24" s="168"/>
      <c r="L24" s="90">
        <v>0</v>
      </c>
      <c r="M24" s="90"/>
      <c r="N24" s="90"/>
      <c r="O24" s="90"/>
      <c r="P24" s="13">
        <v>1</v>
      </c>
      <c r="Q24" s="13" t="s">
        <v>138</v>
      </c>
      <c r="R24" s="54">
        <v>0</v>
      </c>
      <c r="S24" s="54"/>
      <c r="T24" s="54"/>
      <c r="U24" s="54"/>
      <c r="V24" s="195"/>
      <c r="W24" s="198"/>
      <c r="X24" s="198"/>
      <c r="Y24" s="198"/>
      <c r="Z24" s="199"/>
      <c r="AA24" s="5"/>
    </row>
    <row r="25" spans="3:28" ht="16.5" customHeight="1">
      <c r="C25" s="176"/>
      <c r="D25" s="177"/>
      <c r="E25" s="167"/>
      <c r="F25" s="167"/>
      <c r="G25" s="210" t="s">
        <v>140</v>
      </c>
      <c r="H25" s="211"/>
      <c r="I25" s="211"/>
      <c r="J25" s="211"/>
      <c r="K25" s="211"/>
      <c r="L25" s="90">
        <v>0</v>
      </c>
      <c r="M25" s="90"/>
      <c r="N25" s="90"/>
      <c r="O25" s="90"/>
      <c r="P25" s="212" t="s">
        <v>111</v>
      </c>
      <c r="Q25" s="215" t="s">
        <v>110</v>
      </c>
      <c r="R25" s="54">
        <v>0</v>
      </c>
      <c r="S25" s="54"/>
      <c r="T25" s="54"/>
      <c r="U25" s="54"/>
      <c r="V25" s="197"/>
      <c r="W25" s="195"/>
      <c r="X25" s="195"/>
      <c r="Y25" s="195"/>
      <c r="Z25" s="196"/>
      <c r="AA25" s="5"/>
    </row>
    <row r="26" spans="3:28" ht="16.5" customHeight="1">
      <c r="C26" s="176"/>
      <c r="D26" s="177"/>
      <c r="E26" s="167"/>
      <c r="F26" s="167"/>
      <c r="G26" s="211"/>
      <c r="H26" s="211"/>
      <c r="I26" s="211"/>
      <c r="J26" s="211"/>
      <c r="K26" s="211"/>
      <c r="L26" s="90"/>
      <c r="M26" s="90"/>
      <c r="N26" s="90"/>
      <c r="O26" s="90"/>
      <c r="P26" s="213"/>
      <c r="Q26" s="216"/>
      <c r="R26" s="54"/>
      <c r="S26" s="54"/>
      <c r="T26" s="54"/>
      <c r="U26" s="54"/>
      <c r="V26" s="195"/>
      <c r="W26" s="195"/>
      <c r="X26" s="195"/>
      <c r="Y26" s="195"/>
      <c r="Z26" s="196"/>
      <c r="AA26" s="5"/>
    </row>
    <row r="27" spans="3:28" ht="16.5" customHeight="1">
      <c r="C27" s="178"/>
      <c r="D27" s="179"/>
      <c r="E27" s="167"/>
      <c r="F27" s="167"/>
      <c r="G27" s="211"/>
      <c r="H27" s="211"/>
      <c r="I27" s="211"/>
      <c r="J27" s="211"/>
      <c r="K27" s="211"/>
      <c r="L27" s="90"/>
      <c r="M27" s="90"/>
      <c r="N27" s="90"/>
      <c r="O27" s="90"/>
      <c r="P27" s="214"/>
      <c r="Q27" s="217"/>
      <c r="R27" s="54"/>
      <c r="S27" s="54"/>
      <c r="T27" s="54"/>
      <c r="U27" s="54"/>
      <c r="V27" s="195"/>
      <c r="W27" s="195"/>
      <c r="X27" s="195"/>
      <c r="Y27" s="195"/>
      <c r="Z27" s="196"/>
      <c r="AA27" s="5"/>
    </row>
    <row r="28" spans="3:28" ht="16.5" customHeight="1">
      <c r="C28" s="200" t="s">
        <v>141</v>
      </c>
      <c r="D28" s="201"/>
      <c r="E28" s="201"/>
      <c r="F28" s="201"/>
      <c r="G28" s="201"/>
      <c r="H28" s="201"/>
      <c r="I28" s="201"/>
      <c r="J28" s="201"/>
      <c r="K28" s="201"/>
      <c r="L28" s="201"/>
      <c r="M28" s="201"/>
      <c r="N28" s="201"/>
      <c r="O28" s="201"/>
      <c r="P28" s="201"/>
      <c r="Q28" s="201"/>
      <c r="R28" s="204">
        <f>SUBTOTAL(109,$R$18:$U$27)</f>
        <v>1450000</v>
      </c>
      <c r="S28" s="204"/>
      <c r="T28" s="204"/>
      <c r="U28" s="204"/>
      <c r="V28" s="206"/>
      <c r="W28" s="206"/>
      <c r="X28" s="206"/>
      <c r="Y28" s="206"/>
      <c r="Z28" s="207"/>
      <c r="AA28" s="5"/>
    </row>
    <row r="29" spans="3:28" ht="16.5" customHeight="1">
      <c r="C29" s="202"/>
      <c r="D29" s="203"/>
      <c r="E29" s="203"/>
      <c r="F29" s="203"/>
      <c r="G29" s="203"/>
      <c r="H29" s="203"/>
      <c r="I29" s="203"/>
      <c r="J29" s="203"/>
      <c r="K29" s="203"/>
      <c r="L29" s="203"/>
      <c r="M29" s="203"/>
      <c r="N29" s="203"/>
      <c r="O29" s="203"/>
      <c r="P29" s="203"/>
      <c r="Q29" s="203"/>
      <c r="R29" s="205"/>
      <c r="S29" s="205"/>
      <c r="T29" s="205"/>
      <c r="U29" s="205"/>
      <c r="V29" s="208"/>
      <c r="W29" s="208"/>
      <c r="X29" s="208"/>
      <c r="Y29" s="208"/>
      <c r="Z29" s="209"/>
      <c r="AA29" s="5"/>
    </row>
    <row r="30" spans="3:28" ht="16.5" customHeight="1">
      <c r="C30" s="20" t="s">
        <v>142</v>
      </c>
    </row>
    <row r="31" spans="3:28" ht="16.5" customHeight="1">
      <c r="C31" s="20"/>
    </row>
    <row r="32" spans="3:28" ht="16.5" customHeight="1">
      <c r="C32" s="3" t="s">
        <v>126</v>
      </c>
      <c r="H32" s="15"/>
      <c r="W32" s="7"/>
      <c r="Z32" s="7" t="s">
        <v>19</v>
      </c>
    </row>
    <row r="33" spans="3:34" s="5" customFormat="1" ht="16.5" customHeight="1">
      <c r="C33" s="76" t="s">
        <v>109</v>
      </c>
      <c r="D33" s="70"/>
      <c r="E33" s="70" t="s">
        <v>9</v>
      </c>
      <c r="F33" s="70"/>
      <c r="G33" s="70" t="s">
        <v>104</v>
      </c>
      <c r="H33" s="70"/>
      <c r="I33" s="70"/>
      <c r="J33" s="70"/>
      <c r="K33" s="70"/>
      <c r="L33" s="70" t="s">
        <v>76</v>
      </c>
      <c r="M33" s="70"/>
      <c r="N33" s="70"/>
      <c r="O33" s="70"/>
      <c r="P33" s="14" t="s">
        <v>77</v>
      </c>
      <c r="Q33" s="14" t="s">
        <v>78</v>
      </c>
      <c r="R33" s="70" t="s">
        <v>107</v>
      </c>
      <c r="S33" s="70"/>
      <c r="T33" s="70"/>
      <c r="U33" s="70"/>
      <c r="V33" s="77" t="s">
        <v>80</v>
      </c>
      <c r="W33" s="77"/>
      <c r="X33" s="77"/>
      <c r="Y33" s="77"/>
      <c r="Z33" s="78"/>
      <c r="AB33" s="10"/>
    </row>
    <row r="34" spans="3:34" s="5" customFormat="1" ht="16.5" customHeight="1">
      <c r="C34" s="49" t="s">
        <v>147</v>
      </c>
      <c r="D34" s="50"/>
      <c r="E34" s="50" t="s">
        <v>93</v>
      </c>
      <c r="F34" s="50"/>
      <c r="G34" s="168" t="s">
        <v>75</v>
      </c>
      <c r="H34" s="168"/>
      <c r="I34" s="168"/>
      <c r="J34" s="168"/>
      <c r="K34" s="168"/>
      <c r="L34" s="90">
        <v>40000</v>
      </c>
      <c r="M34" s="90"/>
      <c r="N34" s="90"/>
      <c r="O34" s="90"/>
      <c r="P34" s="13"/>
      <c r="Q34" s="13"/>
      <c r="R34" s="54">
        <f>L34*P34</f>
        <v>0</v>
      </c>
      <c r="S34" s="54"/>
      <c r="T34" s="54"/>
      <c r="U34" s="54"/>
      <c r="V34" s="195" t="s">
        <v>263</v>
      </c>
      <c r="W34" s="195"/>
      <c r="X34" s="195"/>
      <c r="Y34" s="195"/>
      <c r="Z34" s="196"/>
      <c r="AB34" s="10"/>
    </row>
    <row r="35" spans="3:34" s="5" customFormat="1" ht="16.5" customHeight="1">
      <c r="C35" s="49" t="s">
        <v>127</v>
      </c>
      <c r="D35" s="50"/>
      <c r="E35" s="50" t="s">
        <v>128</v>
      </c>
      <c r="F35" s="50"/>
      <c r="G35" s="168" t="s">
        <v>146</v>
      </c>
      <c r="H35" s="168"/>
      <c r="I35" s="168"/>
      <c r="J35" s="168"/>
      <c r="K35" s="168"/>
      <c r="L35" s="90">
        <v>60000</v>
      </c>
      <c r="M35" s="90"/>
      <c r="N35" s="90"/>
      <c r="O35" s="90"/>
      <c r="P35" s="13"/>
      <c r="Q35" s="13" t="s">
        <v>84</v>
      </c>
      <c r="R35" s="54">
        <f>L35*P35</f>
        <v>0</v>
      </c>
      <c r="S35" s="54"/>
      <c r="T35" s="54"/>
      <c r="U35" s="54"/>
      <c r="V35" s="195"/>
      <c r="W35" s="195"/>
      <c r="X35" s="195"/>
      <c r="Y35" s="195"/>
      <c r="Z35" s="196"/>
      <c r="AB35" s="10"/>
    </row>
    <row r="36" spans="3:34" s="5" customFormat="1" ht="16.5" customHeight="1">
      <c r="C36" s="185" t="s">
        <v>129</v>
      </c>
      <c r="D36" s="186"/>
      <c r="E36" s="186"/>
      <c r="F36" s="186"/>
      <c r="G36" s="186"/>
      <c r="H36" s="186"/>
      <c r="I36" s="186"/>
      <c r="J36" s="186"/>
      <c r="K36" s="186"/>
      <c r="L36" s="186"/>
      <c r="M36" s="186"/>
      <c r="N36" s="186"/>
      <c r="O36" s="186"/>
      <c r="P36" s="186"/>
      <c r="Q36" s="186"/>
      <c r="R36" s="189">
        <f>SUBTOTAL(109,R34:U35)</f>
        <v>0</v>
      </c>
      <c r="S36" s="189"/>
      <c r="T36" s="189"/>
      <c r="U36" s="189"/>
      <c r="V36" s="191"/>
      <c r="W36" s="191"/>
      <c r="X36" s="191"/>
      <c r="Y36" s="191"/>
      <c r="Z36" s="192"/>
      <c r="AB36" s="10"/>
    </row>
    <row r="37" spans="3:34" s="5" customFormat="1" ht="16.5" customHeight="1">
      <c r="C37" s="187"/>
      <c r="D37" s="188"/>
      <c r="E37" s="188"/>
      <c r="F37" s="188"/>
      <c r="G37" s="188"/>
      <c r="H37" s="188"/>
      <c r="I37" s="188"/>
      <c r="J37" s="188"/>
      <c r="K37" s="188"/>
      <c r="L37" s="188"/>
      <c r="M37" s="188"/>
      <c r="N37" s="188"/>
      <c r="O37" s="188"/>
      <c r="P37" s="188"/>
      <c r="Q37" s="188"/>
      <c r="R37" s="190"/>
      <c r="S37" s="190"/>
      <c r="T37" s="190"/>
      <c r="U37" s="190"/>
      <c r="V37" s="193"/>
      <c r="W37" s="193"/>
      <c r="X37" s="193"/>
      <c r="Y37" s="193"/>
      <c r="Z37" s="194"/>
      <c r="AB37" s="10"/>
    </row>
    <row r="38" spans="3:34" s="5" customFormat="1" ht="16.5" customHeight="1">
      <c r="E38" s="18"/>
      <c r="F38" s="18"/>
      <c r="G38" s="21"/>
      <c r="H38" s="21"/>
      <c r="I38" s="21"/>
      <c r="J38" s="21"/>
      <c r="K38" s="21"/>
      <c r="L38" s="22"/>
      <c r="M38" s="22"/>
      <c r="N38" s="22"/>
      <c r="O38" s="22"/>
      <c r="P38" s="21"/>
      <c r="Q38" s="21"/>
      <c r="R38" s="23"/>
      <c r="S38" s="23"/>
      <c r="T38" s="23"/>
      <c r="U38" s="23"/>
      <c r="V38" s="24"/>
      <c r="W38" s="25"/>
      <c r="X38" s="25"/>
      <c r="Y38" s="25"/>
      <c r="Z38" s="25"/>
      <c r="AB38" s="10"/>
    </row>
    <row r="39" spans="3:34" ht="16.5" customHeight="1">
      <c r="C39" s="3" t="s">
        <v>248</v>
      </c>
      <c r="W39" s="7"/>
      <c r="Z39" s="26" t="s">
        <v>130</v>
      </c>
    </row>
    <row r="40" spans="3:34" ht="16.5" customHeight="1">
      <c r="C40" s="76" t="s">
        <v>114</v>
      </c>
      <c r="D40" s="70"/>
      <c r="E40" s="70"/>
      <c r="F40" s="70"/>
      <c r="G40" s="70"/>
      <c r="H40" s="70"/>
      <c r="I40" s="118"/>
      <c r="J40" s="118"/>
      <c r="K40" s="118"/>
      <c r="L40" s="118"/>
      <c r="M40" s="118"/>
      <c r="N40" s="118"/>
      <c r="O40" s="70" t="s">
        <v>115</v>
      </c>
      <c r="P40" s="70"/>
      <c r="Q40" s="70"/>
      <c r="R40" s="70"/>
      <c r="S40" s="70"/>
      <c r="T40" s="70"/>
      <c r="U40" s="118"/>
      <c r="V40" s="118"/>
      <c r="W40" s="118"/>
      <c r="X40" s="118"/>
      <c r="Y40" s="118"/>
      <c r="Z40" s="119"/>
      <c r="AA40" s="5"/>
    </row>
    <row r="41" spans="3:34" ht="16.5" customHeight="1">
      <c r="C41" s="106" t="s">
        <v>116</v>
      </c>
      <c r="D41" s="59"/>
      <c r="E41" s="59"/>
      <c r="F41" s="59"/>
      <c r="G41" s="59"/>
      <c r="H41" s="59"/>
      <c r="I41" s="148"/>
      <c r="J41" s="149"/>
      <c r="K41" s="149"/>
      <c r="L41" s="149"/>
      <c r="M41" s="149"/>
      <c r="N41" s="150"/>
      <c r="O41" s="162" t="s">
        <v>245</v>
      </c>
      <c r="P41" s="162"/>
      <c r="Q41" s="162"/>
      <c r="R41" s="162"/>
      <c r="S41" s="162"/>
      <c r="T41" s="162"/>
      <c r="U41" s="163" t="s">
        <v>226</v>
      </c>
      <c r="V41" s="163"/>
      <c r="W41" s="164"/>
      <c r="X41" s="165" t="s">
        <v>227</v>
      </c>
      <c r="Y41" s="163"/>
      <c r="Z41" s="166"/>
      <c r="AA41" s="5"/>
    </row>
    <row r="42" spans="3:34" ht="16.5" customHeight="1">
      <c r="C42" s="161" t="s">
        <v>249</v>
      </c>
      <c r="D42" s="62"/>
      <c r="E42" s="62"/>
      <c r="F42" s="62"/>
      <c r="G42" s="62"/>
      <c r="H42" s="62"/>
      <c r="I42" s="50"/>
      <c r="J42" s="50"/>
      <c r="K42" s="50"/>
      <c r="L42" s="50"/>
      <c r="M42" s="50"/>
      <c r="N42" s="50"/>
      <c r="O42" s="59" t="s">
        <v>250</v>
      </c>
      <c r="P42" s="59"/>
      <c r="Q42" s="59"/>
      <c r="R42" s="59"/>
      <c r="S42" s="59"/>
      <c r="T42" s="59"/>
      <c r="U42" s="50"/>
      <c r="V42" s="50"/>
      <c r="W42" s="50"/>
      <c r="X42" s="50"/>
      <c r="Y42" s="50"/>
      <c r="Z42" s="107"/>
      <c r="AA42" s="5"/>
    </row>
    <row r="43" spans="3:34" ht="16.5" customHeight="1">
      <c r="C43" s="106" t="s">
        <v>117</v>
      </c>
      <c r="D43" s="59"/>
      <c r="E43" s="59"/>
      <c r="F43" s="59"/>
      <c r="G43" s="59"/>
      <c r="H43" s="59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107"/>
      <c r="AA43" s="5"/>
    </row>
    <row r="44" spans="3:34" ht="16.5" customHeight="1">
      <c r="C44" s="151" t="s">
        <v>247</v>
      </c>
      <c r="D44" s="152"/>
      <c r="E44" s="152"/>
      <c r="F44" s="152"/>
      <c r="G44" s="152"/>
      <c r="H44" s="152"/>
      <c r="I44" s="50"/>
      <c r="J44" s="50"/>
      <c r="K44" s="50"/>
      <c r="L44" s="50"/>
      <c r="M44" s="50"/>
      <c r="N44" s="50"/>
      <c r="O44" s="59" t="s">
        <v>118</v>
      </c>
      <c r="P44" s="59"/>
      <c r="Q44" s="59"/>
      <c r="R44" s="59"/>
      <c r="S44" s="59"/>
      <c r="T44" s="59"/>
      <c r="U44" s="50"/>
      <c r="V44" s="50"/>
      <c r="W44" s="50"/>
      <c r="X44" s="50"/>
      <c r="Y44" s="50"/>
      <c r="Z44" s="107"/>
      <c r="AA44" s="5"/>
    </row>
    <row r="45" spans="3:34" ht="16.5" customHeight="1">
      <c r="C45" s="153"/>
      <c r="D45" s="154"/>
      <c r="E45" s="154"/>
      <c r="F45" s="154"/>
      <c r="G45" s="154"/>
      <c r="H45" s="154"/>
      <c r="I45" s="108"/>
      <c r="J45" s="108"/>
      <c r="K45" s="108"/>
      <c r="L45" s="108"/>
      <c r="M45" s="108"/>
      <c r="N45" s="108"/>
      <c r="O45" s="109" t="s">
        <v>246</v>
      </c>
      <c r="P45" s="109"/>
      <c r="Q45" s="109"/>
      <c r="R45" s="109"/>
      <c r="S45" s="109"/>
      <c r="T45" s="109"/>
      <c r="U45" s="108"/>
      <c r="V45" s="108"/>
      <c r="W45" s="108"/>
      <c r="X45" s="108"/>
      <c r="Y45" s="108"/>
      <c r="Z45" s="110"/>
      <c r="AA45" s="5"/>
    </row>
    <row r="46" spans="3:34" s="9" customFormat="1" ht="16.5" customHeight="1">
      <c r="C46" s="125" t="s">
        <v>119</v>
      </c>
      <c r="D46" s="125"/>
      <c r="E46" s="125"/>
      <c r="F46" s="125"/>
      <c r="G46" s="125"/>
      <c r="H46" s="125"/>
      <c r="I46" s="125"/>
      <c r="J46" s="125"/>
      <c r="K46" s="125"/>
      <c r="L46" s="125"/>
      <c r="M46" s="125"/>
      <c r="N46" s="125"/>
      <c r="O46" s="125"/>
      <c r="P46" s="125"/>
      <c r="Q46" s="125"/>
      <c r="R46" s="125"/>
      <c r="S46" s="125"/>
      <c r="T46" s="125"/>
      <c r="U46" s="125"/>
      <c r="V46" s="125"/>
      <c r="W46" s="125"/>
      <c r="X46" s="125"/>
      <c r="Y46" s="125"/>
      <c r="Z46" s="125"/>
      <c r="AA46" s="2"/>
      <c r="AC46" s="2"/>
      <c r="AD46" s="2"/>
      <c r="AE46" s="2"/>
      <c r="AF46" s="2"/>
      <c r="AG46" s="2"/>
      <c r="AH46" s="2"/>
    </row>
    <row r="47" spans="3:34" s="9" customFormat="1" ht="16.5" customHeight="1"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2"/>
      <c r="T47" s="112">
        <v>2025</v>
      </c>
      <c r="U47" s="112"/>
      <c r="V47" s="5" t="s">
        <v>122</v>
      </c>
      <c r="W47" s="5"/>
      <c r="X47" s="5" t="s">
        <v>121</v>
      </c>
      <c r="Y47" s="5"/>
      <c r="Z47" s="5" t="s">
        <v>120</v>
      </c>
      <c r="AA47" s="2"/>
      <c r="AC47" s="2"/>
      <c r="AD47" s="2"/>
      <c r="AE47" s="2"/>
      <c r="AF47" s="2"/>
      <c r="AG47" s="2"/>
      <c r="AH47" s="2"/>
    </row>
    <row r="48" spans="3:34" s="9" customFormat="1" ht="16.5" customHeight="1"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112" t="s">
        <v>114</v>
      </c>
      <c r="U48" s="112"/>
      <c r="V48" s="5" t="s">
        <v>123</v>
      </c>
      <c r="W48" s="125"/>
      <c r="X48" s="125"/>
      <c r="Y48" s="125"/>
      <c r="Z48" s="125"/>
      <c r="AA48" s="2"/>
      <c r="AC48" s="2"/>
      <c r="AD48" s="2"/>
      <c r="AE48" s="2"/>
      <c r="AF48" s="2"/>
      <c r="AG48" s="2"/>
      <c r="AH48" s="2"/>
    </row>
    <row r="49" spans="3:34" s="9" customFormat="1" ht="16.5" customHeight="1"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112" t="s">
        <v>124</v>
      </c>
      <c r="U49" s="112"/>
      <c r="V49" s="5" t="s">
        <v>123</v>
      </c>
      <c r="W49" s="125"/>
      <c r="X49" s="125"/>
      <c r="Y49" s="125"/>
      <c r="Z49" s="5" t="s">
        <v>125</v>
      </c>
      <c r="AA49" s="2"/>
      <c r="AC49" s="2"/>
      <c r="AD49" s="2"/>
      <c r="AE49" s="2"/>
      <c r="AF49" s="2"/>
      <c r="AG49" s="2"/>
      <c r="AH49" s="2"/>
    </row>
    <row r="50" spans="3:34" s="9" customFormat="1" ht="16.5" customHeight="1"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2"/>
      <c r="AC50" s="2"/>
      <c r="AD50" s="2"/>
      <c r="AE50" s="2"/>
      <c r="AF50" s="2"/>
      <c r="AG50" s="2"/>
      <c r="AH50" s="2"/>
    </row>
    <row r="51" spans="3:34" s="9" customFormat="1" ht="16.5" customHeight="1">
      <c r="C51" s="96" t="s">
        <v>99</v>
      </c>
      <c r="D51" s="96"/>
      <c r="E51" s="96"/>
      <c r="F51" s="96"/>
      <c r="G51" s="96"/>
      <c r="H51" s="96"/>
      <c r="I51" s="96"/>
      <c r="J51" s="96"/>
      <c r="K51" s="96"/>
      <c r="L51" s="96"/>
      <c r="M51" s="96"/>
      <c r="N51" s="96"/>
      <c r="O51" s="96"/>
      <c r="P51" s="96"/>
      <c r="Q51" s="96"/>
      <c r="R51" s="96"/>
      <c r="S51" s="96"/>
      <c r="T51" s="96"/>
      <c r="U51" s="96"/>
      <c r="V51" s="96"/>
      <c r="W51" s="96"/>
      <c r="X51" s="96"/>
      <c r="Y51" s="96"/>
      <c r="Z51" s="96"/>
      <c r="AA51" s="2"/>
      <c r="AC51" s="2"/>
      <c r="AD51" s="2"/>
      <c r="AE51" s="2"/>
      <c r="AF51" s="2"/>
      <c r="AG51" s="2"/>
      <c r="AH51" s="2"/>
    </row>
    <row r="52" spans="3:34" s="9" customFormat="1" ht="8.1" customHeight="1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/>
      <c r="Y52" s="2"/>
      <c r="Z52" s="2"/>
      <c r="AA52" s="2"/>
      <c r="AC52" s="2"/>
      <c r="AD52" s="2"/>
      <c r="AE52" s="2"/>
      <c r="AF52" s="2"/>
      <c r="AG52" s="2"/>
      <c r="AH52" s="2"/>
    </row>
  </sheetData>
  <mergeCells count="129">
    <mergeCell ref="C51:Z51"/>
    <mergeCell ref="C46:Z46"/>
    <mergeCell ref="T47:U47"/>
    <mergeCell ref="T48:U48"/>
    <mergeCell ref="W48:Z48"/>
    <mergeCell ref="T49:U49"/>
    <mergeCell ref="W49:Y49"/>
    <mergeCell ref="C4:Z4"/>
    <mergeCell ref="C7:C13"/>
    <mergeCell ref="D7:F7"/>
    <mergeCell ref="G7:K7"/>
    <mergeCell ref="Q7:Q13"/>
    <mergeCell ref="R7:T7"/>
    <mergeCell ref="U7:Z7"/>
    <mergeCell ref="D8:F8"/>
    <mergeCell ref="G8:L8"/>
    <mergeCell ref="R8:T8"/>
    <mergeCell ref="D11:F11"/>
    <mergeCell ref="G11:L11"/>
    <mergeCell ref="R11:T11"/>
    <mergeCell ref="U11:Z11"/>
    <mergeCell ref="D12:F12"/>
    <mergeCell ref="G12:L12"/>
    <mergeCell ref="R12:T12"/>
    <mergeCell ref="U12:Z12"/>
    <mergeCell ref="U8:Z8"/>
    <mergeCell ref="D9:F9"/>
    <mergeCell ref="G9:L9"/>
    <mergeCell ref="R9:T9"/>
    <mergeCell ref="U9:Z9"/>
    <mergeCell ref="D10:F10"/>
    <mergeCell ref="G10:L10"/>
    <mergeCell ref="R10:T10"/>
    <mergeCell ref="U10:Z10"/>
    <mergeCell ref="D13:F13"/>
    <mergeCell ref="G13:L13"/>
    <mergeCell ref="R13:T13"/>
    <mergeCell ref="U13:Z13"/>
    <mergeCell ref="C17:D17"/>
    <mergeCell ref="E17:F17"/>
    <mergeCell ref="G17:K17"/>
    <mergeCell ref="L17:O17"/>
    <mergeCell ref="R17:U17"/>
    <mergeCell ref="V17:Z17"/>
    <mergeCell ref="G20:K20"/>
    <mergeCell ref="L20:O20"/>
    <mergeCell ref="R20:U20"/>
    <mergeCell ref="V20:Z20"/>
    <mergeCell ref="E22:F27"/>
    <mergeCell ref="G22:K22"/>
    <mergeCell ref="L22:O22"/>
    <mergeCell ref="R22:U22"/>
    <mergeCell ref="V22:Z22"/>
    <mergeCell ref="G23:K23"/>
    <mergeCell ref="E18:F20"/>
    <mergeCell ref="G18:K18"/>
    <mergeCell ref="L18:O18"/>
    <mergeCell ref="R18:U18"/>
    <mergeCell ref="V18:Z18"/>
    <mergeCell ref="G19:K19"/>
    <mergeCell ref="L19:O19"/>
    <mergeCell ref="R19:U19"/>
    <mergeCell ref="V19:Z19"/>
    <mergeCell ref="G25:K27"/>
    <mergeCell ref="L25:O27"/>
    <mergeCell ref="P25:P27"/>
    <mergeCell ref="Q25:Q27"/>
    <mergeCell ref="R25:U27"/>
    <mergeCell ref="C34:D34"/>
    <mergeCell ref="E34:F34"/>
    <mergeCell ref="V25:Z27"/>
    <mergeCell ref="L23:O23"/>
    <mergeCell ref="R23:U23"/>
    <mergeCell ref="V23:Z23"/>
    <mergeCell ref="G24:K24"/>
    <mergeCell ref="L24:O24"/>
    <mergeCell ref="R24:U24"/>
    <mergeCell ref="V24:Z24"/>
    <mergeCell ref="C28:Q29"/>
    <mergeCell ref="R28:U29"/>
    <mergeCell ref="V28:Z29"/>
    <mergeCell ref="I40:N40"/>
    <mergeCell ref="O40:T40"/>
    <mergeCell ref="U40:Z40"/>
    <mergeCell ref="C41:H41"/>
    <mergeCell ref="O41:T41"/>
    <mergeCell ref="C36:Q37"/>
    <mergeCell ref="R36:U37"/>
    <mergeCell ref="V36:Z37"/>
    <mergeCell ref="C33:D33"/>
    <mergeCell ref="E33:F33"/>
    <mergeCell ref="G33:K33"/>
    <mergeCell ref="L33:O33"/>
    <mergeCell ref="R33:U33"/>
    <mergeCell ref="V33:Z33"/>
    <mergeCell ref="C35:D35"/>
    <mergeCell ref="E35:F35"/>
    <mergeCell ref="G35:K35"/>
    <mergeCell ref="L35:O35"/>
    <mergeCell ref="R35:U35"/>
    <mergeCell ref="V35:Z35"/>
    <mergeCell ref="G34:K34"/>
    <mergeCell ref="L34:O34"/>
    <mergeCell ref="R34:U34"/>
    <mergeCell ref="V34:Z34"/>
    <mergeCell ref="I41:N41"/>
    <mergeCell ref="U41:W41"/>
    <mergeCell ref="X41:Z41"/>
    <mergeCell ref="U42:Z42"/>
    <mergeCell ref="C44:H45"/>
    <mergeCell ref="V21:Z21"/>
    <mergeCell ref="C18:D20"/>
    <mergeCell ref="C22:D27"/>
    <mergeCell ref="C21:D21"/>
    <mergeCell ref="E21:F21"/>
    <mergeCell ref="G21:K21"/>
    <mergeCell ref="L21:O21"/>
    <mergeCell ref="R21:U21"/>
    <mergeCell ref="I44:N45"/>
    <mergeCell ref="O44:T44"/>
    <mergeCell ref="U44:Z44"/>
    <mergeCell ref="O45:T45"/>
    <mergeCell ref="U45:Z45"/>
    <mergeCell ref="C42:H42"/>
    <mergeCell ref="I42:N42"/>
    <mergeCell ref="O42:T42"/>
    <mergeCell ref="C43:H43"/>
    <mergeCell ref="I43:Z43"/>
    <mergeCell ref="C40:H40"/>
  </mergeCells>
  <phoneticPr fontId="3" type="noConversion"/>
  <dataValidations count="1">
    <dataValidation type="list" allowBlank="1" showInputMessage="1" showErrorMessage="1" sqref="L18:O18">
      <formula1>"1200000, 1450000"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78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가격표!$B$2:$B$18</xm:f>
          </x14:formula1>
          <xm:sqref>U11:Z11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L18"/>
  <sheetViews>
    <sheetView tabSelected="1" topLeftCell="B1" workbookViewId="0">
      <selection activeCell="F11" sqref="F11"/>
    </sheetView>
  </sheetViews>
  <sheetFormatPr defaultColWidth="33.69921875" defaultRowHeight="17.399999999999999"/>
  <cols>
    <col min="1" max="1" width="15.8984375" style="29" customWidth="1"/>
    <col min="2" max="2" width="16.5" style="29" bestFit="1" customWidth="1"/>
    <col min="3" max="3" width="15.8984375" style="29" bestFit="1" customWidth="1"/>
    <col min="4" max="4" width="27.59765625" style="29" bestFit="1" customWidth="1"/>
    <col min="5" max="5" width="2.59765625" style="27" customWidth="1"/>
    <col min="6" max="7" width="33.69921875" style="29"/>
    <col min="8" max="8" width="6" style="29" bestFit="1" customWidth="1"/>
    <col min="9" max="11" width="15.59765625" style="29" customWidth="1"/>
    <col min="12" max="16384" width="33.69921875" style="29"/>
  </cols>
  <sheetData>
    <row r="1" spans="1:12" ht="24.9" customHeight="1">
      <c r="A1" s="28" t="s">
        <v>24</v>
      </c>
      <c r="B1" s="28" t="s">
        <v>21</v>
      </c>
      <c r="C1" s="28" t="s">
        <v>22</v>
      </c>
      <c r="D1" s="28" t="s">
        <v>23</v>
      </c>
      <c r="F1" s="28" t="s">
        <v>104</v>
      </c>
      <c r="G1" s="28" t="s">
        <v>148</v>
      </c>
      <c r="H1" s="28" t="s">
        <v>78</v>
      </c>
      <c r="I1" s="28" t="s">
        <v>149</v>
      </c>
      <c r="J1" s="28" t="s">
        <v>150</v>
      </c>
      <c r="K1" s="28" t="s">
        <v>151</v>
      </c>
      <c r="L1" s="28" t="s">
        <v>80</v>
      </c>
    </row>
    <row r="2" spans="1:12" ht="24.9" customHeight="1">
      <c r="A2" s="218">
        <v>1</v>
      </c>
      <c r="B2" s="30" t="s">
        <v>26</v>
      </c>
      <c r="C2" s="30" t="s">
        <v>3</v>
      </c>
      <c r="D2" s="30" t="s">
        <v>48</v>
      </c>
      <c r="F2" s="31" t="s">
        <v>152</v>
      </c>
      <c r="G2" s="32" t="s">
        <v>158</v>
      </c>
      <c r="H2" s="30" t="s">
        <v>159</v>
      </c>
      <c r="I2" s="33">
        <v>1500000</v>
      </c>
      <c r="J2" s="33">
        <v>400000</v>
      </c>
      <c r="K2" s="33"/>
      <c r="L2" s="34" t="s">
        <v>160</v>
      </c>
    </row>
    <row r="3" spans="1:12" ht="24.9" customHeight="1">
      <c r="A3" s="218"/>
      <c r="B3" s="30" t="s">
        <v>25</v>
      </c>
      <c r="C3" s="30" t="s">
        <v>2</v>
      </c>
      <c r="D3" s="30" t="s">
        <v>49</v>
      </c>
      <c r="F3" s="31" t="s">
        <v>153</v>
      </c>
      <c r="G3" s="32" t="s">
        <v>161</v>
      </c>
      <c r="H3" s="30" t="s">
        <v>159</v>
      </c>
      <c r="I3" s="33">
        <v>700000</v>
      </c>
      <c r="J3" s="33">
        <v>200000</v>
      </c>
      <c r="K3" s="33"/>
      <c r="L3" s="30" t="s">
        <v>162</v>
      </c>
    </row>
    <row r="4" spans="1:12" ht="24.9" customHeight="1">
      <c r="A4" s="218"/>
      <c r="B4" s="30" t="s">
        <v>27</v>
      </c>
      <c r="C4" s="30" t="s">
        <v>28</v>
      </c>
      <c r="D4" s="30" t="s">
        <v>50</v>
      </c>
      <c r="F4" s="31" t="s">
        <v>154</v>
      </c>
      <c r="G4" s="32" t="s">
        <v>163</v>
      </c>
      <c r="H4" s="30" t="s">
        <v>159</v>
      </c>
      <c r="I4" s="33">
        <v>1200000</v>
      </c>
      <c r="J4" s="33">
        <v>300000</v>
      </c>
      <c r="K4" s="33"/>
      <c r="L4" s="30" t="s">
        <v>164</v>
      </c>
    </row>
    <row r="5" spans="1:12" ht="24.9" customHeight="1">
      <c r="A5" s="218"/>
      <c r="B5" s="30" t="s">
        <v>41</v>
      </c>
      <c r="C5" s="30" t="s">
        <v>29</v>
      </c>
      <c r="D5" s="30" t="s">
        <v>51</v>
      </c>
      <c r="F5" s="31" t="s">
        <v>155</v>
      </c>
      <c r="G5" s="32" t="s">
        <v>165</v>
      </c>
      <c r="H5" s="30" t="s">
        <v>159</v>
      </c>
      <c r="I5" s="33">
        <v>1000000</v>
      </c>
      <c r="J5" s="33">
        <v>200000</v>
      </c>
      <c r="K5" s="33"/>
      <c r="L5" s="30" t="s">
        <v>166</v>
      </c>
    </row>
    <row r="6" spans="1:12" ht="24.9" customHeight="1">
      <c r="A6" s="218"/>
      <c r="B6" s="30" t="s">
        <v>42</v>
      </c>
      <c r="C6" s="30" t="s">
        <v>30</v>
      </c>
      <c r="D6" s="30" t="s">
        <v>52</v>
      </c>
      <c r="F6" s="31" t="s">
        <v>156</v>
      </c>
      <c r="G6" s="32" t="s">
        <v>167</v>
      </c>
      <c r="H6" s="30" t="s">
        <v>159</v>
      </c>
      <c r="I6" s="33">
        <v>1000000</v>
      </c>
      <c r="J6" s="33">
        <v>200000</v>
      </c>
      <c r="K6" s="33"/>
      <c r="L6" s="30" t="s">
        <v>166</v>
      </c>
    </row>
    <row r="7" spans="1:12" ht="24.9" customHeight="1">
      <c r="A7" s="218"/>
      <c r="B7" s="30" t="s">
        <v>43</v>
      </c>
      <c r="C7" s="30" t="s">
        <v>31</v>
      </c>
      <c r="D7" s="30" t="s">
        <v>53</v>
      </c>
      <c r="F7" s="31" t="s">
        <v>157</v>
      </c>
      <c r="G7" s="32" t="s">
        <v>168</v>
      </c>
      <c r="H7" s="30" t="s">
        <v>88</v>
      </c>
      <c r="I7" s="33">
        <v>40000</v>
      </c>
      <c r="J7" s="33">
        <v>40000</v>
      </c>
      <c r="K7" s="33"/>
      <c r="L7" s="35"/>
    </row>
    <row r="8" spans="1:12" ht="24.9" customHeight="1">
      <c r="A8" s="218"/>
      <c r="B8" s="30" t="s">
        <v>44</v>
      </c>
      <c r="C8" s="30" t="s">
        <v>32</v>
      </c>
      <c r="D8" s="30" t="s">
        <v>54</v>
      </c>
      <c r="F8" s="36" t="s">
        <v>169</v>
      </c>
      <c r="G8" s="32"/>
      <c r="H8" s="37" t="s">
        <v>170</v>
      </c>
      <c r="I8" s="39">
        <v>100000</v>
      </c>
      <c r="J8" s="33"/>
      <c r="K8" s="33"/>
      <c r="L8" s="30" t="s">
        <v>171</v>
      </c>
    </row>
    <row r="9" spans="1:12" ht="24.9" customHeight="1">
      <c r="A9" s="38" t="s">
        <v>63</v>
      </c>
      <c r="B9" s="38" t="s">
        <v>63</v>
      </c>
      <c r="C9" s="38" t="s">
        <v>63</v>
      </c>
      <c r="D9" s="38" t="s">
        <v>63</v>
      </c>
      <c r="F9" s="36" t="s">
        <v>172</v>
      </c>
      <c r="G9" s="32" t="s">
        <v>173</v>
      </c>
      <c r="H9" s="37" t="s">
        <v>170</v>
      </c>
      <c r="I9" s="39">
        <v>2000</v>
      </c>
      <c r="J9" s="33"/>
      <c r="K9" s="33"/>
      <c r="L9" s="30" t="s">
        <v>174</v>
      </c>
    </row>
    <row r="10" spans="1:12" ht="24.9" customHeight="1">
      <c r="A10" s="218">
        <v>2</v>
      </c>
      <c r="B10" s="30" t="s">
        <v>33</v>
      </c>
      <c r="C10" s="30" t="s">
        <v>5</v>
      </c>
      <c r="D10" s="30" t="s">
        <v>55</v>
      </c>
      <c r="F10" s="36" t="s">
        <v>175</v>
      </c>
      <c r="G10" s="32" t="s">
        <v>176</v>
      </c>
      <c r="H10" s="37" t="s">
        <v>177</v>
      </c>
      <c r="I10" s="39">
        <v>2000</v>
      </c>
      <c r="J10" s="33"/>
      <c r="K10" s="33"/>
      <c r="L10" s="30" t="s">
        <v>178</v>
      </c>
    </row>
    <row r="11" spans="1:12" ht="24.9" customHeight="1">
      <c r="A11" s="218"/>
      <c r="B11" s="30" t="s">
        <v>34</v>
      </c>
      <c r="C11" s="30" t="s">
        <v>1</v>
      </c>
      <c r="D11" s="30" t="s">
        <v>56</v>
      </c>
      <c r="F11" s="36" t="s">
        <v>179</v>
      </c>
      <c r="G11" s="32" t="s">
        <v>180</v>
      </c>
      <c r="H11" s="37" t="s">
        <v>170</v>
      </c>
      <c r="I11" s="39">
        <v>2000</v>
      </c>
      <c r="J11" s="33"/>
      <c r="K11" s="33"/>
      <c r="L11" s="30"/>
    </row>
    <row r="12" spans="1:12" ht="24.9" customHeight="1">
      <c r="A12" s="218"/>
      <c r="B12" s="30" t="s">
        <v>253</v>
      </c>
      <c r="C12" s="30" t="s">
        <v>0</v>
      </c>
      <c r="D12" s="30" t="s">
        <v>57</v>
      </c>
      <c r="F12" s="36" t="s">
        <v>181</v>
      </c>
      <c r="G12" s="32" t="s">
        <v>182</v>
      </c>
      <c r="H12" s="37" t="s">
        <v>170</v>
      </c>
      <c r="I12" s="39">
        <v>2000</v>
      </c>
      <c r="J12" s="33"/>
      <c r="K12" s="33"/>
      <c r="L12" s="30"/>
    </row>
    <row r="13" spans="1:12" ht="24.9" customHeight="1">
      <c r="A13" s="218"/>
      <c r="B13" s="30" t="s">
        <v>35</v>
      </c>
      <c r="C13" s="30" t="s">
        <v>4</v>
      </c>
      <c r="D13" s="30" t="s">
        <v>58</v>
      </c>
      <c r="F13" s="36" t="s">
        <v>183</v>
      </c>
      <c r="G13" s="32" t="s">
        <v>184</v>
      </c>
      <c r="H13" s="37" t="s">
        <v>185</v>
      </c>
      <c r="I13" s="39">
        <v>10000</v>
      </c>
      <c r="J13" s="33"/>
      <c r="K13" s="33"/>
      <c r="L13" s="30"/>
    </row>
    <row r="14" spans="1:12" ht="24.9" customHeight="1">
      <c r="A14" s="218"/>
      <c r="B14" s="30" t="s">
        <v>36</v>
      </c>
      <c r="C14" s="30" t="s">
        <v>37</v>
      </c>
      <c r="D14" s="30" t="s">
        <v>59</v>
      </c>
      <c r="F14" s="36" t="s">
        <v>186</v>
      </c>
      <c r="G14" s="32" t="s">
        <v>187</v>
      </c>
      <c r="H14" s="37" t="s">
        <v>170</v>
      </c>
      <c r="I14" s="39">
        <v>10000</v>
      </c>
      <c r="J14" s="33"/>
      <c r="K14" s="33"/>
      <c r="L14" s="30"/>
    </row>
    <row r="15" spans="1:12" ht="24.9" customHeight="1">
      <c r="A15" s="218"/>
      <c r="B15" s="30" t="s">
        <v>45</v>
      </c>
      <c r="C15" s="30" t="s">
        <v>38</v>
      </c>
      <c r="D15" s="30" t="s">
        <v>60</v>
      </c>
      <c r="F15" s="36" t="s">
        <v>188</v>
      </c>
      <c r="G15" s="32" t="s">
        <v>189</v>
      </c>
      <c r="H15" s="37" t="s">
        <v>190</v>
      </c>
      <c r="I15" s="39">
        <v>250000</v>
      </c>
      <c r="J15" s="33"/>
      <c r="K15" s="33"/>
      <c r="L15" s="30" t="s">
        <v>191</v>
      </c>
    </row>
    <row r="16" spans="1:12" ht="24.9" customHeight="1">
      <c r="A16" s="218"/>
      <c r="B16" s="30" t="s">
        <v>46</v>
      </c>
      <c r="C16" s="30" t="s">
        <v>39</v>
      </c>
      <c r="D16" s="30" t="s">
        <v>61</v>
      </c>
      <c r="F16" s="36" t="s">
        <v>192</v>
      </c>
      <c r="G16" s="32" t="s">
        <v>193</v>
      </c>
      <c r="H16" s="37" t="s">
        <v>170</v>
      </c>
      <c r="I16" s="39">
        <v>2000</v>
      </c>
      <c r="J16" s="33"/>
      <c r="K16" s="33"/>
      <c r="L16" s="30"/>
    </row>
    <row r="17" spans="1:12" ht="24.9" customHeight="1">
      <c r="A17" s="218"/>
      <c r="B17" s="30" t="s">
        <v>47</v>
      </c>
      <c r="C17" s="30" t="s">
        <v>40</v>
      </c>
      <c r="D17" s="30" t="s">
        <v>62</v>
      </c>
      <c r="F17" s="36" t="s">
        <v>194</v>
      </c>
      <c r="G17" s="32"/>
      <c r="H17" s="30" t="s">
        <v>177</v>
      </c>
      <c r="I17" s="33">
        <v>20000</v>
      </c>
      <c r="J17" s="33"/>
      <c r="K17" s="33"/>
      <c r="L17" s="30" t="s">
        <v>195</v>
      </c>
    </row>
    <row r="18" spans="1:12" ht="24.9" customHeight="1">
      <c r="A18" s="218"/>
      <c r="B18" s="30" t="s">
        <v>64</v>
      </c>
      <c r="C18" s="30" t="s">
        <v>65</v>
      </c>
      <c r="D18" s="30" t="s">
        <v>66</v>
      </c>
      <c r="F18" s="36" t="s">
        <v>196</v>
      </c>
      <c r="G18" s="32"/>
      <c r="H18" s="37" t="s">
        <v>170</v>
      </c>
      <c r="I18" s="39">
        <v>5000</v>
      </c>
      <c r="J18" s="33"/>
      <c r="K18" s="33"/>
      <c r="L18" s="30"/>
    </row>
  </sheetData>
  <mergeCells count="2">
    <mergeCell ref="A2:A8"/>
    <mergeCell ref="A10:A18"/>
  </mergeCells>
  <phoneticPr fontId="3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7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신규(기업)</vt:lpstr>
      <vt:lpstr>세무</vt:lpstr>
      <vt:lpstr>가격표</vt:lpstr>
      <vt:lpstr>세무!Print_Area</vt:lpstr>
      <vt:lpstr>'신규(기업)'!Print_Area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TS2센터 2Unit 천현정</dc:creator>
  <cp:lastModifiedBy>USER</cp:lastModifiedBy>
  <cp:lastPrinted>2025-10-31T05:02:23Z</cp:lastPrinted>
  <dcterms:created xsi:type="dcterms:W3CDTF">2018-11-07T04:19:16Z</dcterms:created>
  <dcterms:modified xsi:type="dcterms:W3CDTF">2026-03-23T07:45:13Z</dcterms:modified>
</cp:coreProperties>
</file>